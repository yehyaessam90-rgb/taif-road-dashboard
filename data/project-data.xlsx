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roject" sheetId="2" r:id="rId2"/>
    <sheet name="Invoices" sheetId="3" r:id="rId3"/>
    <sheet name="Sections" sheetId="4" r:id="rId4"/>
    <sheet name="BOQ_Items" sheetId="5" r:id="rId5"/>
    <sheet name="Baseline_Plan" sheetId="6" r:id="rId6"/>
    <sheet name="Performance" sheetId="7" r:id="rId7"/>
  </sheets>
  <definedNames>
    <definedName name="_xlnm._FilterDatabase" localSheetId="4" hidden="1">BOQ_Items!$A$1:$L$420</definedName>
  </definedNames>
  <calcPr calcId="124519" fullCalcOnLoad="1"/>
</workbook>
</file>

<file path=xl/sharedStrings.xml><?xml version="1.0" encoding="utf-8"?>
<sst xmlns="http://schemas.openxmlformats.org/spreadsheetml/2006/main" count="1833" uniqueCount="927">
  <si>
    <t>HOW TO UPDATE THE DASHBOARD</t>
  </si>
  <si>
    <t>طريقة تحديث لوحة المتابعة</t>
  </si>
  <si>
    <t>1. Each month, after the IPC is issued, add one row in 'Invoices' (copy values from the Payment Log).</t>
  </si>
  <si>
    <t>١. كل شهر بعد إصدار المستخلص أضف سطراً في شيت Invoices من سجل الدفعات.</t>
  </si>
  <si>
    <t>2. In 'Sections' update Previous / Current / Cumulative from the BOQ Summary page of the IPC.</t>
  </si>
  <si>
    <t>٢. في شيت Sections حدّث السابق / الحالي / التراكمي من صفحة ملخص الـBOQ في المستخلص.</t>
  </si>
  <si>
    <t>3. In 'BOQ_Items' update Previous / Current / To-Date quantities (rates &amp; amounts are recalculated if left blank).</t>
  </si>
  <si>
    <t>٣. في شيت BOQ_Items حدّث الكميات السابقة / الحالية / التراكمية (المبالغ تُحسب تلقائياً لو تُركت فارغة).</t>
  </si>
  <si>
    <t>4. In 'Performance' add the P6 update row: Data Date, Planned %, Actual % (physical progress).</t>
  </si>
  <si>
    <t>٤. في شيت Performance أضف سطر التحديث من البريمافيرا: تاريخ البيانات، المخطط ٪، الفعلي ٪.</t>
  </si>
  <si>
    <t>5. 'Baseline_Plan' = monthly planned value (SAR excl. VAT) from the P6 baseline (or import the .xer in the site).</t>
  </si>
  <si>
    <t>٥. شيت Baseline_Plan = القيمة المخططة الشهرية من البيز لاين (أو استورد ملف ‎.xer من الموقع مباشرة).</t>
  </si>
  <si>
    <t>6. Update 'Data Date' in 'Project'. Then open the site → Import File tab → drop this workbook.</t>
  </si>
  <si>
    <t>٦. حدّث Data Date في شيت Project، ثم افتح الموقع ← تبويب Import File ← ارفع الملف.</t>
  </si>
  <si>
    <t>7. To publish for everyone: upload it to GitHub as data/project-data.xlsx (replace the old one).</t>
  </si>
  <si>
    <t>٧. للنشر للجميع: ارفعه على GitHub باسم data/project-data.xlsx بدلاً من القديم.</t>
  </si>
  <si>
    <t>RULES</t>
  </si>
  <si>
    <t>قواعد</t>
  </si>
  <si>
    <t>• Do not rename sheets or header cells. Extra columns are ignored.</t>
  </si>
  <si>
    <t>• لا تغيّر أسماء الشيتات أو العناوين. الأعمدة الإضافية يتم تجاهلها.</t>
  </si>
  <si>
    <t>• Amounts in SAR. Work done &amp; recovery are EXCLUDING VAT. Dates as real Excel dates.</t>
  </si>
  <si>
    <t>• المبالغ بالريال. قيمة الأعمال والاسترداد بدون ضريبة. التواريخ بصيغة تاريخ إكسل.</t>
  </si>
  <si>
    <t>• Percent columns: type 12.5 or 12.5% — both work.</t>
  </si>
  <si>
    <t>• أعمدة النسب: اكتب 12.5 أو ‎12.5% — الاثنين صحيح.</t>
  </si>
  <si>
    <t>• Blank VAT / Net Certified are computed from VAT % in 'Project'.</t>
  </si>
  <si>
    <t>• لو تُركت الضريبة أو الصافي فارغة يتم حسابها تلقائياً.</t>
  </si>
  <si>
    <t>Yellow cells = inputs you update every month.</t>
  </si>
  <si>
    <t>Field</t>
  </si>
  <si>
    <t>Value</t>
  </si>
  <si>
    <t>Note</t>
  </si>
  <si>
    <t>Project Name</t>
  </si>
  <si>
    <t>Development of Taif Road — Section C</t>
  </si>
  <si>
    <t>Contract No</t>
  </si>
  <si>
    <t>20250928162</t>
  </si>
  <si>
    <t>Client</t>
  </si>
  <si>
    <t>Royal Commission for Riyadh City (RCRC)</t>
  </si>
  <si>
    <t>Consultant</t>
  </si>
  <si>
    <t>WSP</t>
  </si>
  <si>
    <t>Contractor</t>
  </si>
  <si>
    <t>RTCC – IC ICTAS JV</t>
  </si>
  <si>
    <t>Contract Value (excl VAT)</t>
  </si>
  <si>
    <t>Contract Value (incl VAT)</t>
  </si>
  <si>
    <t>Approved Change Orders (excl VAT)</t>
  </si>
  <si>
    <t>Advance Payment (incl VAT)</t>
  </si>
  <si>
    <t>VAT %</t>
  </si>
  <si>
    <t>Advance Recovery %</t>
  </si>
  <si>
    <t>Retention %</t>
  </si>
  <si>
    <t>Commencement Date</t>
  </si>
  <si>
    <t>Start of IPC-01 period</t>
  </si>
  <si>
    <t>Planned Completion Date</t>
  </si>
  <si>
    <t>Fill from contract / P6 baseline (enables Time-elapsed KPI)</t>
  </si>
  <si>
    <t>Data Date</t>
  </si>
  <si>
    <t>Usually the 'Period To' of the latest IPC</t>
  </si>
  <si>
    <t>IPC No</t>
  </si>
  <si>
    <t>Period From</t>
  </si>
  <si>
    <t>Period To</t>
  </si>
  <si>
    <t>Work Done (excl VAT)</t>
  </si>
  <si>
    <t>Advance Recovery (excl VAT)</t>
  </si>
  <si>
    <t>VAT</t>
  </si>
  <si>
    <t>Retention (incl VAT)</t>
  </si>
  <si>
    <t>Net Certified (incl VAT)</t>
  </si>
  <si>
    <t>Status</t>
  </si>
  <si>
    <t>Paid Amount</t>
  </si>
  <si>
    <t>Paid Date</t>
  </si>
  <si>
    <t>Remarks</t>
  </si>
  <si>
    <t>Certified</t>
  </si>
  <si>
    <t>Submitted</t>
  </si>
  <si>
    <t>Section</t>
  </si>
  <si>
    <t>Description</t>
  </si>
  <si>
    <t>Contract Amount</t>
  </si>
  <si>
    <t>Previous Amount</t>
  </si>
  <si>
    <t>Current Amount</t>
  </si>
  <si>
    <t>Cumulative Amount</t>
  </si>
  <si>
    <t>Planned % To Date</t>
  </si>
  <si>
    <t>Section 01</t>
  </si>
  <si>
    <t>General Items</t>
  </si>
  <si>
    <t>Section 02</t>
  </si>
  <si>
    <t>Earthworks</t>
  </si>
  <si>
    <t>Section 03</t>
  </si>
  <si>
    <t>Base Courses</t>
  </si>
  <si>
    <t>Section 04</t>
  </si>
  <si>
    <t>Bituminous Works</t>
  </si>
  <si>
    <t>Section 05</t>
  </si>
  <si>
    <t>Minor Structures, Underpasses &amp; Retaining Walls</t>
  </si>
  <si>
    <t>Section 5A</t>
  </si>
  <si>
    <t>Bridge @ 4+050</t>
  </si>
  <si>
    <t>Section 5B</t>
  </si>
  <si>
    <t>Bridge @ 7+300</t>
  </si>
  <si>
    <t>Section 5C</t>
  </si>
  <si>
    <t>Bridge @ 10+550</t>
  </si>
  <si>
    <t>Section 5D</t>
  </si>
  <si>
    <t>Underpass @ 13+500</t>
  </si>
  <si>
    <t>Section 5E</t>
  </si>
  <si>
    <t>Underpass @ 14+400</t>
  </si>
  <si>
    <t>Section 5F</t>
  </si>
  <si>
    <t>Bridge @ Jeddah Junction</t>
  </si>
  <si>
    <t>Section 06</t>
  </si>
  <si>
    <t>Road Safety Works</t>
  </si>
  <si>
    <t>Section 07</t>
  </si>
  <si>
    <t>Electrical Works</t>
  </si>
  <si>
    <t>Section 08</t>
  </si>
  <si>
    <t>Landscape</t>
  </si>
  <si>
    <t>Section 09</t>
  </si>
  <si>
    <t>Traffic Appurtenances</t>
  </si>
  <si>
    <t>Section 10</t>
  </si>
  <si>
    <t>Wet Utility</t>
  </si>
  <si>
    <t>Section 11</t>
  </si>
  <si>
    <t>ITS</t>
  </si>
  <si>
    <t>Section 12</t>
  </si>
  <si>
    <t>Diversion Works</t>
  </si>
  <si>
    <t>Section 13A</t>
  </si>
  <si>
    <t>Pedestrian Bridge 1</t>
  </si>
  <si>
    <t>Section 13B</t>
  </si>
  <si>
    <t>Pedestrian Bridge 2</t>
  </si>
  <si>
    <t>Section 13C</t>
  </si>
  <si>
    <t>Pedestrian Bridge 3</t>
  </si>
  <si>
    <t>Section 13D</t>
  </si>
  <si>
    <t>Pedestrian Bridge 4</t>
  </si>
  <si>
    <t>Section 13E</t>
  </si>
  <si>
    <t>Pedestrian Bridge 5</t>
  </si>
  <si>
    <t>Section 13F</t>
  </si>
  <si>
    <t>Pedestrian Bridge 6</t>
  </si>
  <si>
    <t>Section 13G</t>
  </si>
  <si>
    <t>Pedestrian Bridge 7</t>
  </si>
  <si>
    <t>Section 14</t>
  </si>
  <si>
    <t>Traffic Signal</t>
  </si>
  <si>
    <t>Grand Total</t>
  </si>
  <si>
    <t>Planned % To Date: optional, from P6 (per WBS/section) — draws a planned marker on each progress bar.</t>
  </si>
  <si>
    <t>Bill</t>
  </si>
  <si>
    <t>Item No</t>
  </si>
  <si>
    <t>Unit</t>
  </si>
  <si>
    <t>Contract Qty</t>
  </si>
  <si>
    <t>Unit Rate</t>
  </si>
  <si>
    <t>Previous Qty</t>
  </si>
  <si>
    <t>Current Qty</t>
  </si>
  <si>
    <t>To-Date Qty</t>
  </si>
  <si>
    <t>To-Date Amount</t>
  </si>
  <si>
    <t>2</t>
  </si>
  <si>
    <t>2.1.1</t>
  </si>
  <si>
    <t>Clearing and Grubbing</t>
  </si>
  <si>
    <t>Square Meter</t>
  </si>
  <si>
    <t>2.1.2</t>
  </si>
  <si>
    <t>Individual tree Removal</t>
  </si>
  <si>
    <t>2.2.1</t>
  </si>
  <si>
    <t>Removal and Disposal of Existing traffic Signals</t>
  </si>
  <si>
    <t>2.2.2</t>
  </si>
  <si>
    <t>Removal and Disposal of Existing Single Pole Signages</t>
  </si>
  <si>
    <t>2.2.3</t>
  </si>
  <si>
    <t>Removal and Disposal of Existing Double Pole Signages</t>
  </si>
  <si>
    <t>2.2.4</t>
  </si>
  <si>
    <t>Removal and Disposal of Existing Triple Pole Signages</t>
  </si>
  <si>
    <t>2.2.5</t>
  </si>
  <si>
    <t>Removal and Disposal of Existing cantilever Gantry</t>
  </si>
  <si>
    <t>ton</t>
  </si>
  <si>
    <t>2.2.6</t>
  </si>
  <si>
    <t>Removal and Disposal of Existing Manholes (All types and sizes)</t>
  </si>
  <si>
    <t>2.2.7</t>
  </si>
  <si>
    <t>Removal and Disposal of Existing Crash Barriers</t>
  </si>
  <si>
    <t>Linear Metre</t>
  </si>
  <si>
    <t>2.2.8</t>
  </si>
  <si>
    <t>Removal and Disposal of Existing RCC Box Conduit (1.8m x 1.5m)</t>
  </si>
  <si>
    <t>2.2.9</t>
  </si>
  <si>
    <t>Removal and Disposal of Existing Light poles</t>
  </si>
  <si>
    <t>2.2.10</t>
  </si>
  <si>
    <t>Removal and Disposal of Existing Sign post Base</t>
  </si>
  <si>
    <t>Cubic Metre</t>
  </si>
  <si>
    <t>2.2.11</t>
  </si>
  <si>
    <t>Removal of Signs (Any type)</t>
  </si>
  <si>
    <t>Square Metre</t>
  </si>
  <si>
    <t>2.2.12</t>
  </si>
  <si>
    <t>Removal and Shifting of Existing Transformers</t>
  </si>
  <si>
    <t>2.2.13</t>
  </si>
  <si>
    <t>Removal and Disposal of Existing Fence</t>
  </si>
  <si>
    <t>2.2.14</t>
  </si>
  <si>
    <t>Removal and Disposal of Existing Barriers (Bollard type)</t>
  </si>
  <si>
    <t>2.2.15</t>
  </si>
  <si>
    <t>Dismantling of Existing Building</t>
  </si>
  <si>
    <t>2.2.16</t>
  </si>
  <si>
    <t>Removal of Curb</t>
  </si>
  <si>
    <t>Linear Meter</t>
  </si>
  <si>
    <t>2.2.17</t>
  </si>
  <si>
    <t>Removal of Concrete, Paving Tile &amp; Shotcrete Slope Protection</t>
  </si>
  <si>
    <t>2.2.18</t>
  </si>
  <si>
    <t>Removal of Bituminous &amp; Granular Pavement upto Subgrade Top Level</t>
  </si>
  <si>
    <t>2.2.19</t>
  </si>
  <si>
    <t>Removal of Planter Box</t>
  </si>
  <si>
    <t>2.2.20</t>
  </si>
  <si>
    <t>Removal Traffic Monitoring Cameras</t>
  </si>
  <si>
    <t>2.3.1</t>
  </si>
  <si>
    <t>Roadway Excavation</t>
  </si>
  <si>
    <t>Cubic Meter</t>
  </si>
  <si>
    <t>2.3.2.1</t>
  </si>
  <si>
    <t>Structural Excavation-Other Structures &amp; Underpasses</t>
  </si>
  <si>
    <t>2.4.1</t>
  </si>
  <si>
    <t>Embankment (From Roadway Cutting)</t>
  </si>
  <si>
    <t>2.4.2</t>
  </si>
  <si>
    <t>Embankment (From Borrow Areas)</t>
  </si>
  <si>
    <t>2.4.3</t>
  </si>
  <si>
    <t>Imported Fill for MSE Wall</t>
  </si>
  <si>
    <t>2.5.1</t>
  </si>
  <si>
    <t>Subgrade, Depth 300mm</t>
  </si>
  <si>
    <t>2.5.2</t>
  </si>
  <si>
    <t>Subgrade Preparation</t>
  </si>
  <si>
    <t>2.6.1</t>
  </si>
  <si>
    <t>CLSM Material as approved by Engineer</t>
  </si>
  <si>
    <t>2.6.2</t>
  </si>
  <si>
    <t>CLSM with Fly Ash</t>
  </si>
  <si>
    <t>2.7</t>
  </si>
  <si>
    <t>Geogrid as approved by Engineer and utilised</t>
  </si>
  <si>
    <t>2.8</t>
  </si>
  <si>
    <t>Horizontal Direct Drilling for crossing existing Road</t>
  </si>
  <si>
    <t>5A</t>
  </si>
  <si>
    <t>5A.1.1.1</t>
  </si>
  <si>
    <t>Structural Excavation including Backfilling</t>
  </si>
  <si>
    <t>5A.2.1</t>
  </si>
  <si>
    <t>Structural Concrete for Bridge Substructure, Class B (40 Mpa)</t>
  </si>
  <si>
    <t>5A.2.2</t>
  </si>
  <si>
    <t>Structural Concrete for Bridge Substructure, Class C (45 Mpa)</t>
  </si>
  <si>
    <t>5A.2.3</t>
  </si>
  <si>
    <t>Blinding Concrete Work Under foundation and approach slabs 100mm</t>
  </si>
  <si>
    <t>5A.3.1</t>
  </si>
  <si>
    <t>Bearing Devices, Pot, Sliding, 2000 Ton</t>
  </si>
  <si>
    <t>5A.4.1</t>
  </si>
  <si>
    <t>Bearing Devices, Pot, Guided, 2000 Ton</t>
  </si>
  <si>
    <t>5A.5</t>
  </si>
  <si>
    <t>Prestressing Steel</t>
  </si>
  <si>
    <t>Ton</t>
  </si>
  <si>
    <t>5A.6</t>
  </si>
  <si>
    <t>Cast-in-Place Prestressed Concrete Structural Members, Class D (50 Mpa)</t>
  </si>
  <si>
    <t>5A.7.1</t>
  </si>
  <si>
    <t>Expansion Joints, Less than 50mm with Backing rod and sealant</t>
  </si>
  <si>
    <t>5A.7.2</t>
  </si>
  <si>
    <t>Expansion Joints, greater than 75 mm</t>
  </si>
  <si>
    <t>5A.8.1</t>
  </si>
  <si>
    <t>Bridge single face parapet</t>
  </si>
  <si>
    <t>5A.9</t>
  </si>
  <si>
    <t>Heavy duty Gully Grates and Frames</t>
  </si>
  <si>
    <t>Units</t>
  </si>
  <si>
    <t>5A.10</t>
  </si>
  <si>
    <t>Permeable Material behind Abutment with 300mm thick</t>
  </si>
  <si>
    <t>5A.11</t>
  </si>
  <si>
    <t>Granular Backfill Behind Abutment</t>
  </si>
  <si>
    <t>5A.12.1</t>
  </si>
  <si>
    <t>Bridge Deck Drainage System (150mm dia UPVC)</t>
  </si>
  <si>
    <t>5A.12.2</t>
  </si>
  <si>
    <t>Bridge Deck Drainage System (150mm dia Perforated PVC)</t>
  </si>
  <si>
    <t>5A.12.3</t>
  </si>
  <si>
    <t>Bridge Deck Drainage System - Flexible Drainage Pipe 75 mm dia</t>
  </si>
  <si>
    <t>5A.12.4</t>
  </si>
  <si>
    <t>Bridge Deck Drainage System (75mm Dia PVC Pipe)</t>
  </si>
  <si>
    <t>5A.12.5</t>
  </si>
  <si>
    <t>Bridge Deck Drainage System (150mm dia Imperforated PVC)</t>
  </si>
  <si>
    <t>5A.13.1</t>
  </si>
  <si>
    <t>Waterproof Membrane, 2 Layers</t>
  </si>
  <si>
    <t>5A.13.2</t>
  </si>
  <si>
    <t>Waterproof Membrane For Bridge Deck (Pitchmastic)</t>
  </si>
  <si>
    <t>5A.13.3</t>
  </si>
  <si>
    <t>Polythene Membrane For Approach Slab, 2 Layers (150 micron)</t>
  </si>
  <si>
    <t>5A.13.4</t>
  </si>
  <si>
    <t>Bituminous Painting for Buried Concrete</t>
  </si>
  <si>
    <t>5A.14.1</t>
  </si>
  <si>
    <t>Protective Coating for Concrete Structure, Resistance to Weathering</t>
  </si>
  <si>
    <t>5A.15</t>
  </si>
  <si>
    <t>Reinforcing Steel, Grade 60</t>
  </si>
  <si>
    <t>Kilogram</t>
  </si>
  <si>
    <t>5A.16</t>
  </si>
  <si>
    <t>Furnishing and Installing Heavy Duty gates in Inspection Chamber</t>
  </si>
  <si>
    <t>5A.17.1</t>
  </si>
  <si>
    <t>Bituminous Concrete Wearing Course for Bridge Section, Depth 70mm</t>
  </si>
  <si>
    <t>5B</t>
  </si>
  <si>
    <t>5B.1.1.1</t>
  </si>
  <si>
    <t>5B.2.1</t>
  </si>
  <si>
    <t>5B.2.2</t>
  </si>
  <si>
    <t>5B.2.3</t>
  </si>
  <si>
    <t>5B.3.1</t>
  </si>
  <si>
    <t>5B.4.1</t>
  </si>
  <si>
    <t>5B.5</t>
  </si>
  <si>
    <t>5B.6</t>
  </si>
  <si>
    <t>5B.7.1</t>
  </si>
  <si>
    <t>5B.7.2</t>
  </si>
  <si>
    <t>5B.8.1</t>
  </si>
  <si>
    <t>5B.9</t>
  </si>
  <si>
    <t>5B.10</t>
  </si>
  <si>
    <t>5B.11</t>
  </si>
  <si>
    <t>5B.12.1</t>
  </si>
  <si>
    <t>5B.12.2</t>
  </si>
  <si>
    <t>5B.12.3</t>
  </si>
  <si>
    <t>5B.12.4</t>
  </si>
  <si>
    <t>5B.12.5</t>
  </si>
  <si>
    <t>5B.13.1</t>
  </si>
  <si>
    <t>5B.13.2</t>
  </si>
  <si>
    <t>5B.13.3</t>
  </si>
  <si>
    <t>5B.13.4</t>
  </si>
  <si>
    <t>5B.14.1</t>
  </si>
  <si>
    <t>5B.15</t>
  </si>
  <si>
    <t>5B.16</t>
  </si>
  <si>
    <t>5B.17.1</t>
  </si>
  <si>
    <t>5C</t>
  </si>
  <si>
    <t>5C.1.1.1</t>
  </si>
  <si>
    <t>5C.2.1</t>
  </si>
  <si>
    <t>5C.2.2</t>
  </si>
  <si>
    <t>5C.2.3</t>
  </si>
  <si>
    <t>5C.3.1</t>
  </si>
  <si>
    <t>5C.4.1</t>
  </si>
  <si>
    <t>5C.5</t>
  </si>
  <si>
    <t>5C.6</t>
  </si>
  <si>
    <t>5C.7.1</t>
  </si>
  <si>
    <t>5C.7.2</t>
  </si>
  <si>
    <t>5C.8.1</t>
  </si>
  <si>
    <t>5C.9</t>
  </si>
  <si>
    <t>5C.10</t>
  </si>
  <si>
    <t>5C.11</t>
  </si>
  <si>
    <t>5C.12.1</t>
  </si>
  <si>
    <t>5C.12.2</t>
  </si>
  <si>
    <t>5C.12.3</t>
  </si>
  <si>
    <t>5C.12.4</t>
  </si>
  <si>
    <t>5C.12.5</t>
  </si>
  <si>
    <t>5C.13.1</t>
  </si>
  <si>
    <t>5C.13.2</t>
  </si>
  <si>
    <t>5C.13.3</t>
  </si>
  <si>
    <t>5C.13.4</t>
  </si>
  <si>
    <t>5C.14.1</t>
  </si>
  <si>
    <t>5C.15</t>
  </si>
  <si>
    <t>5C.16</t>
  </si>
  <si>
    <t>5C.17.1</t>
  </si>
  <si>
    <t>5F</t>
  </si>
  <si>
    <t>5F.1.1.1</t>
  </si>
  <si>
    <t>5F.2.1</t>
  </si>
  <si>
    <t>5F.2.2</t>
  </si>
  <si>
    <t>5F.2.3</t>
  </si>
  <si>
    <t>5F.3.1</t>
  </si>
  <si>
    <t>Structural Concrete for Bridge Superstructure, Class D (50 Mpa)</t>
  </si>
  <si>
    <t>5F.3.2</t>
  </si>
  <si>
    <t>Precast Prestressed Concrete Structural Members, Class D (50 Mpa)</t>
  </si>
  <si>
    <t>5F.4.1</t>
  </si>
  <si>
    <t>Bearing Devices, Pot, Fixed, 700 Ton</t>
  </si>
  <si>
    <t>5F.4.2.1</t>
  </si>
  <si>
    <t>Bearing Devices, Pot, Sliding, 400 Ton</t>
  </si>
  <si>
    <t>5F.4.2.2</t>
  </si>
  <si>
    <t>Bearing Devices, Pot, Sliding, 700 Ton</t>
  </si>
  <si>
    <t>5F.5.1</t>
  </si>
  <si>
    <t>Bearing Devices, Pot, Guided, 400 Ton</t>
  </si>
  <si>
    <t>5F.5.2</t>
  </si>
  <si>
    <t>Bearing Devices, Pot, Guided, 700 Ton</t>
  </si>
  <si>
    <t>5F.6</t>
  </si>
  <si>
    <t>5F.7.1</t>
  </si>
  <si>
    <t>5F.7.2</t>
  </si>
  <si>
    <t>Expansion Joints, greater than 70 mm</t>
  </si>
  <si>
    <t>5F.8.1</t>
  </si>
  <si>
    <t>5F.9</t>
  </si>
  <si>
    <t>5F.10</t>
  </si>
  <si>
    <t>5F.11.1</t>
  </si>
  <si>
    <t>5F.11.2</t>
  </si>
  <si>
    <t>5F.11.3</t>
  </si>
  <si>
    <t>Bridge Deck Drainage System - Flexible Drainage Pipe at Edge of Joint</t>
  </si>
  <si>
    <t>5F.11.4</t>
  </si>
  <si>
    <t>5F.11.5</t>
  </si>
  <si>
    <t>5F.12.1</t>
  </si>
  <si>
    <t>5F.12.2</t>
  </si>
  <si>
    <t>5F.12.3</t>
  </si>
  <si>
    <t>5F.12.4</t>
  </si>
  <si>
    <t>5F.13.1</t>
  </si>
  <si>
    <t>5F.14</t>
  </si>
  <si>
    <t>5F.15.1</t>
  </si>
  <si>
    <t>Structural Steel Supply, Fabrication, Finishing and Erection</t>
  </si>
  <si>
    <t>5F.15.2</t>
  </si>
  <si>
    <t>Supply and Installation of Corrugated Steel Sheet</t>
  </si>
  <si>
    <t>5F.16.1</t>
  </si>
  <si>
    <t>7</t>
  </si>
  <si>
    <t>7.1</t>
  </si>
  <si>
    <t>12m lighting pole, 1 bracket, 1 LED luminaire 144W (Type L1)</t>
  </si>
  <si>
    <t>7.2</t>
  </si>
  <si>
    <t>Reinforced Concrete Foundation for 12m Height Pole (Single Bracket)</t>
  </si>
  <si>
    <t>7.3</t>
  </si>
  <si>
    <t>12m lighting pole, 2 LED luminaire 144W (Type L2)</t>
  </si>
  <si>
    <t>7.4</t>
  </si>
  <si>
    <t>Reinforced Concrete Foundation for 12m Height Pole (Double Bracket)</t>
  </si>
  <si>
    <t>7.5</t>
  </si>
  <si>
    <t>12m lighting pole, 1 LED 144W + 1 LED 24.3W (Type L5)</t>
  </si>
  <si>
    <t>7.6</t>
  </si>
  <si>
    <t>Reinforced Concrete Foundation for 12m Height Pole</t>
  </si>
  <si>
    <t>7.7</t>
  </si>
  <si>
    <t>Surface mounted linear LED luminaire 44.6W inside underpass (Type L4)</t>
  </si>
  <si>
    <t>7.8</t>
  </si>
  <si>
    <t>Surface mounted linear LED luminaire 110W under bridge deck (Type L3)</t>
  </si>
  <si>
    <t>7.9</t>
  </si>
  <si>
    <t>Road LED luminaire 21W at bridge/flyover areas (Type L6)</t>
  </si>
  <si>
    <t>7.10</t>
  </si>
  <si>
    <t>Surface mounted linear LED luminaire 25W in Pump Room</t>
  </si>
  <si>
    <t>7.11</t>
  </si>
  <si>
    <t>Surface mounted linear LED luminaire 25W with 90 min battery in Pump Room</t>
  </si>
  <si>
    <t>7.12</t>
  </si>
  <si>
    <t>RCC Concrete duct bank under road crossing (telecom)</t>
  </si>
  <si>
    <t>7.13</t>
  </si>
  <si>
    <t>RCC duct bank (4x50mm) PVC duct, Telecom transverse under roads</t>
  </si>
  <si>
    <t>7.14</t>
  </si>
  <si>
    <t>RCC duct bank (2x110mm) HDPE duct, MOI cable longitudinal</t>
  </si>
  <si>
    <t>7.15</t>
  </si>
  <si>
    <t>RCC duct bank (4x110mm) HDPE duct, MONG cable longitudinal</t>
  </si>
  <si>
    <t>7.16</t>
  </si>
  <si>
    <t>RCC duct bank (4x100mm) PVC duct, Security camera cable longitudinal</t>
  </si>
  <si>
    <t>7.17</t>
  </si>
  <si>
    <t>RCC duct bank (4x100mm) PVC duct, Street Lighting Corridor longitudinal</t>
  </si>
  <si>
    <t>7.18</t>
  </si>
  <si>
    <t>RCC duct bank (6x150mm) PVC duct, MV cable longitudinal</t>
  </si>
  <si>
    <t>7.19</t>
  </si>
  <si>
    <t>RCC duct bank (8x100mm) PVC duct, LV cable longitudinal</t>
  </si>
  <si>
    <t>7.20</t>
  </si>
  <si>
    <t>RCC duct bank (3x150mm) PVC duct, LV &amp; MV transverse</t>
  </si>
  <si>
    <t>7.21</t>
  </si>
  <si>
    <t>RCC duct bank (4x150mm) PVC duct, Electrical Transfer cable longitudinal</t>
  </si>
  <si>
    <t>7.22</t>
  </si>
  <si>
    <t>Handhole/Manhole for Street Lighting &amp; ITS Corridor 1.0x1.0x1.5m</t>
  </si>
  <si>
    <t>7.23</t>
  </si>
  <si>
    <t>Manhole for Proposed Corridor (LV, MV &amp; Telecom) 1.0x1.0x1.5m</t>
  </si>
  <si>
    <t>7.24</t>
  </si>
  <si>
    <t>Manhole for Proposed ET 1.5x1.5x1.5m</t>
  </si>
  <si>
    <t>7.25</t>
  </si>
  <si>
    <t>Manhole for Proposed Corridor (MONG) two cover chamber</t>
  </si>
  <si>
    <t>7.26</t>
  </si>
  <si>
    <t>Manhole for Proposed Corridor (MOI) 1.0x1.0x1.0m</t>
  </si>
  <si>
    <t>7.27</t>
  </si>
  <si>
    <t>Manhole for Proposed Bridge 4.0x2.5x2.0m</t>
  </si>
  <si>
    <t>7.28</t>
  </si>
  <si>
    <t>Manhole for Proposed Bridge 3.0x2.5x2.0m</t>
  </si>
  <si>
    <t>7.29</t>
  </si>
  <si>
    <t>Manhole for Proposed Bridge 2.15x1.2x2.0m</t>
  </si>
  <si>
    <t>7.30</t>
  </si>
  <si>
    <t>Manhole for Proposed Bridge 7.5x2.5x2.0m</t>
  </si>
  <si>
    <t>7.31</t>
  </si>
  <si>
    <t>IP54 Outdoor unit substation 13.8kV, 500kVA</t>
  </si>
  <si>
    <t>7.32</t>
  </si>
  <si>
    <t>Reinforced concrete Base for Unit Sub-Stations</t>
  </si>
  <si>
    <t>7.33</t>
  </si>
  <si>
    <t>IP54 Outdoor unit substation 13.8kV, 1000kVA</t>
  </si>
  <si>
    <t>7.34</t>
  </si>
  <si>
    <t>7.35</t>
  </si>
  <si>
    <t>Street Lighting Panel supply, installation, testing, commissioning</t>
  </si>
  <si>
    <t>7.36</t>
  </si>
  <si>
    <t>Reinforced concrete Base for Feeder Pillars</t>
  </si>
  <si>
    <t>7.37</t>
  </si>
  <si>
    <t>MCC (Motor Control Center) in Pump Room</t>
  </si>
  <si>
    <t>7.38</t>
  </si>
  <si>
    <t>Distribution Boards in Pump Room, IP54, 63A</t>
  </si>
  <si>
    <t>7.39</t>
  </si>
  <si>
    <t>Uninterrupted Power Supply 1kVA UPS</t>
  </si>
  <si>
    <t>7.40.1</t>
  </si>
  <si>
    <t>XLPE armoured cable 4Cx240+1Cx120 Sqmm CPC</t>
  </si>
  <si>
    <t>7.40.2</t>
  </si>
  <si>
    <t>XLPE armoured cable 4Cx185+1Cx95 Sqmm CPC</t>
  </si>
  <si>
    <t>7.40.3</t>
  </si>
  <si>
    <t>XLPE armoured cable 4Cx150+1Cx95 Sqmm CPC</t>
  </si>
  <si>
    <t>7.40.4</t>
  </si>
  <si>
    <t>XLPE armoured cable 4Cx120+1Cx70 Sqmm CPC</t>
  </si>
  <si>
    <t>7.40.5</t>
  </si>
  <si>
    <t>XLPE armoured cable 4Cx95+1Cx50 Sqmm CPC</t>
  </si>
  <si>
    <t>7.40.6</t>
  </si>
  <si>
    <t>XLPE armoured cable 4Cx70+1Cx35 Sqmm CPC</t>
  </si>
  <si>
    <t>7.40.7</t>
  </si>
  <si>
    <t>XLPE armoured cable 4Cx50+1Cx25 Sqmm CPC</t>
  </si>
  <si>
    <t>7.40.8</t>
  </si>
  <si>
    <t>XLPE armoured cable 4Cx35+1Cx16 Sqmm CPC</t>
  </si>
  <si>
    <t>7.40.9</t>
  </si>
  <si>
    <t>XLPE armoured cable 4Cx25+1Cx16 Sqmm CPC</t>
  </si>
  <si>
    <t>7.40.10</t>
  </si>
  <si>
    <t>XLPE armoured cable 4Cx16+1Cx16 Sqmm CPC</t>
  </si>
  <si>
    <t>7.40.11</t>
  </si>
  <si>
    <t>XLPE armoured cable 4Cx300+1Cx150 Sqmm CPC</t>
  </si>
  <si>
    <t>7.40.12</t>
  </si>
  <si>
    <t>XLPE armoured cable 3Cx50+1Cx25 Sqmm CPC</t>
  </si>
  <si>
    <t>7.40.13</t>
  </si>
  <si>
    <t>XLPE armoured cable 3Cx16+1Cx16 Sqmm CPC</t>
  </si>
  <si>
    <t>7.40.14</t>
  </si>
  <si>
    <t>XLPE armoured cable 3Cx25+1Cx16 Sqmm CPC</t>
  </si>
  <si>
    <t>7.40.15</t>
  </si>
  <si>
    <t>XLPE armoured cable 3Cx10+1Cx10 Sqmm CPC</t>
  </si>
  <si>
    <t>7.40.16</t>
  </si>
  <si>
    <t>XLPE armoured cable 4Cx10+1Cx10 Sqmm CPC</t>
  </si>
  <si>
    <t>7.40.17</t>
  </si>
  <si>
    <t>Cable 2Cx2.5 Sqmm (CU/PVC)+1Cx2.5 Sqmm CPC</t>
  </si>
  <si>
    <t>7.41.1</t>
  </si>
  <si>
    <t>Termination 4Cx240+1Cx120 Sqmm</t>
  </si>
  <si>
    <t>7.41.2</t>
  </si>
  <si>
    <t>Termination 4Cx185+1Cx95 Sqmm</t>
  </si>
  <si>
    <t>7.41.3</t>
  </si>
  <si>
    <t>Termination 4Cx150+1Cx95 Sqmm</t>
  </si>
  <si>
    <t>7.41.4</t>
  </si>
  <si>
    <t>Termination 4Cx120+1Cx70 Sqmm</t>
  </si>
  <si>
    <t>7.41.5</t>
  </si>
  <si>
    <t>Termination 4Cx95+1Cx50 Sqmm</t>
  </si>
  <si>
    <t>7.41.6</t>
  </si>
  <si>
    <t>Termination 4Cx70+1Cx35 Sqmm</t>
  </si>
  <si>
    <t>7.41.7</t>
  </si>
  <si>
    <t>Termination 4Cx50+1Cx25 Sqmm</t>
  </si>
  <si>
    <t>7.41.8</t>
  </si>
  <si>
    <t>Termination 4Cx35+1Cx16 Sqmm</t>
  </si>
  <si>
    <t>7.41.9</t>
  </si>
  <si>
    <t>Termination 4Cx25+1Cx16 Sqmm</t>
  </si>
  <si>
    <t>7.41.10</t>
  </si>
  <si>
    <t>Termination 4Cx16+1Cx16 Sqmm</t>
  </si>
  <si>
    <t>7.41.11</t>
  </si>
  <si>
    <t>Termination 4Cx300+1Cx150 Sqmm</t>
  </si>
  <si>
    <t>7.41.12</t>
  </si>
  <si>
    <t>Termination 3Cx50+1Cx25 Sqmm</t>
  </si>
  <si>
    <t>7.41.13</t>
  </si>
  <si>
    <t>Termination 3Cx16+1Cx16 Sqmm</t>
  </si>
  <si>
    <t>7.41.14</t>
  </si>
  <si>
    <t>Termination 3Cx25+1Cx16 Sqmm</t>
  </si>
  <si>
    <t>7.41.15</t>
  </si>
  <si>
    <t>Termination 3Cx10+1Cx10 Sqmm</t>
  </si>
  <si>
    <t>7.41.16</t>
  </si>
  <si>
    <t>Termination 4Cx10+1Cx10 Sqmm</t>
  </si>
  <si>
    <t>7.41.17</t>
  </si>
  <si>
    <t>Termination 2Cx2.5+1Cx2.5 Sqmm</t>
  </si>
  <si>
    <t>7.42.1</t>
  </si>
  <si>
    <t>Control cable 2C x2.5 Sqmm</t>
  </si>
  <si>
    <t>7.42.2</t>
  </si>
  <si>
    <t>Control cable 2Cx1.5 Sqmm</t>
  </si>
  <si>
    <t>7.42.3</t>
  </si>
  <si>
    <t>Control cable 3Cx1.5 Sqmm</t>
  </si>
  <si>
    <t>7.42.4</t>
  </si>
  <si>
    <t>Control cable 3Cx2.5 Sqmm</t>
  </si>
  <si>
    <t>7.42.5</t>
  </si>
  <si>
    <t>Control cable 3Cx4 Sqmm</t>
  </si>
  <si>
    <t>7.42.6</t>
  </si>
  <si>
    <t>Control cable 4Cx2.5 Sqmm</t>
  </si>
  <si>
    <t>7.42.7</t>
  </si>
  <si>
    <t>Control cable 6Cx2.5 Sqmm</t>
  </si>
  <si>
    <t>7.42.8</t>
  </si>
  <si>
    <t>Control cable 12Cx2.5 Sqmm</t>
  </si>
  <si>
    <t>7.42.9</t>
  </si>
  <si>
    <t>Control cable 24Cx2.5 Sqmm</t>
  </si>
  <si>
    <t>7.43</t>
  </si>
  <si>
    <t>16mm Dia Cu Coated Steel earth rod 1.2m - Set</t>
  </si>
  <si>
    <t>7.44</t>
  </si>
  <si>
    <t>Main Earth Terminal (50x6)mm 600mm Cu earthing bus</t>
  </si>
  <si>
    <t>7.45</t>
  </si>
  <si>
    <t>900x100mm ladder galvanized steel cable trays (Section C &amp; B tie)</t>
  </si>
  <si>
    <t>7.46</t>
  </si>
  <si>
    <t>600x100mm ladder galvanized steel cable trays (Pump Room)</t>
  </si>
  <si>
    <t>7.47</t>
  </si>
  <si>
    <t>300x100mm ladder galvanized steel cable trays (Pump Room)</t>
  </si>
  <si>
    <t>7.48</t>
  </si>
  <si>
    <t>600x100mm ladder galvanized steel cable trays (Bridge deck utility corridor)</t>
  </si>
  <si>
    <t>7.49</t>
  </si>
  <si>
    <t>Supply of CU strips 50x6mm for Earthing System (Pump Room)</t>
  </si>
  <si>
    <t>7.50</t>
  </si>
  <si>
    <t>16A socket outlet IP65 with switch (Pump Room)</t>
  </si>
  <si>
    <t>7.51</t>
  </si>
  <si>
    <t>6A modular switch with safety shutter (Pump Room)</t>
  </si>
  <si>
    <t>7.52.1.1</t>
  </si>
  <si>
    <t>32-bits CPU module with 2 Ethernet ports + RS232 + RS485</t>
  </si>
  <si>
    <t>7.52.1.2</t>
  </si>
  <si>
    <t>DC Power supply, 48 VDC and/or +24 VDC with battery charger</t>
  </si>
  <si>
    <t>7.52.1.3</t>
  </si>
  <si>
    <t>GSM/GPRS communication module</t>
  </si>
  <si>
    <t>7.52.1.4</t>
  </si>
  <si>
    <t>Hi gain +6 dB omnidirectional GSM antenna</t>
  </si>
  <si>
    <t>7.52.1.5</t>
  </si>
  <si>
    <t>8 channel Analog Input module</t>
  </si>
  <si>
    <t>7.52.1.6</t>
  </si>
  <si>
    <t>16 channel digital input module, 24/48V</t>
  </si>
  <si>
    <t>7.52.1.7</t>
  </si>
  <si>
    <t>16 channel digital output module, 24/48V 350 mA</t>
  </si>
  <si>
    <t>7.52.1.8</t>
  </si>
  <si>
    <t>Rack 15 slots DIN rail mounting</t>
  </si>
  <si>
    <t>7.52.1.9</t>
  </si>
  <si>
    <t>Programming software provision for RTU</t>
  </si>
  <si>
    <t>7.52.1.10</t>
  </si>
  <si>
    <t>8 port managed industrial switch</t>
  </si>
  <si>
    <t>7.52.1.11</t>
  </si>
  <si>
    <t>Fiber Optic Patch cord</t>
  </si>
  <si>
    <t>7.52.1.12</t>
  </si>
  <si>
    <t>FO Dome Splice closure 6F-12F, IP68</t>
  </si>
  <si>
    <t>7.52.1.13</t>
  </si>
  <si>
    <t>SS316 cabinet IP65 1000x400x1200</t>
  </si>
  <si>
    <t>7.52.1.14</t>
  </si>
  <si>
    <t>Supply, laying and termination of Cat-6 cables</t>
  </si>
  <si>
    <t>7.52.1.15</t>
  </si>
  <si>
    <t>Armoured Single mode 6 core Fibre optic cable</t>
  </si>
  <si>
    <t>7.52.1.16</t>
  </si>
  <si>
    <t>Un armoured 4 Core x 1.5 sq mm ATC FRLS screened control cable</t>
  </si>
  <si>
    <t>7.53</t>
  </si>
  <si>
    <t>ITS Panel supply, installation, testing, commissioning</t>
  </si>
  <si>
    <t>10</t>
  </si>
  <si>
    <t>10.1.1.1</t>
  </si>
  <si>
    <t>Structure Catch basins 600mm x 600mm</t>
  </si>
  <si>
    <t>10.1.2.1</t>
  </si>
  <si>
    <t>Manhole 1200mm, Depth 1m to 1.5m</t>
  </si>
  <si>
    <t>10.1.2.2</t>
  </si>
  <si>
    <t>Manhole 1200mm, Depth 1.5m to 2.0m</t>
  </si>
  <si>
    <t>10.1.2.3</t>
  </si>
  <si>
    <t>Manhole 1200mm, Depth 2.0m to 2.5m</t>
  </si>
  <si>
    <t>10.1.2.4</t>
  </si>
  <si>
    <t>Manhole 1200mm, Depth 2.5m to 3.0m</t>
  </si>
  <si>
    <t>10.1.2.5</t>
  </si>
  <si>
    <t>Manhole 1200mm, Depth 3m to 3.5m</t>
  </si>
  <si>
    <t>10.1.2.6</t>
  </si>
  <si>
    <t>Manhole 1200mm, Depth 3.5m to 4m</t>
  </si>
  <si>
    <t>10.1.2.7</t>
  </si>
  <si>
    <t>Manhole 1200mm, Depth 4m to 4.5m</t>
  </si>
  <si>
    <t>10.1.2.8</t>
  </si>
  <si>
    <t>Manhole 1200mm, Depth 4.5m to 5m</t>
  </si>
  <si>
    <t>10.1.2.9</t>
  </si>
  <si>
    <t>Manhole 1200mm, Depth 5m to 5.5m</t>
  </si>
  <si>
    <t>10.1.2.10</t>
  </si>
  <si>
    <t>Manhole 1200mm, Depth 5.5m to 6m</t>
  </si>
  <si>
    <t>10.1.2.11</t>
  </si>
  <si>
    <t>Manhole 1200mm, Depth 6m to 6.5m</t>
  </si>
  <si>
    <t>10.1.2.12</t>
  </si>
  <si>
    <t>Manhole 1200mm, Depth 6.5m to 7m</t>
  </si>
  <si>
    <t>10.1.2.13</t>
  </si>
  <si>
    <t>Manhole 1200mm, Depth 7m to 7.5m</t>
  </si>
  <si>
    <t>10.1.2.14</t>
  </si>
  <si>
    <t>Manhole 1200mm, Depth 7.5m to 8m</t>
  </si>
  <si>
    <t>10.1.2.15</t>
  </si>
  <si>
    <t>Manhole 1200mm, Depth 8m to 8.5m</t>
  </si>
  <si>
    <t>10.1.2.16</t>
  </si>
  <si>
    <t>Manhole 1200mm, Depth 9m to 9.5m</t>
  </si>
  <si>
    <t>10.1.2.17</t>
  </si>
  <si>
    <t>Manhole 1200mm, Depth 9.5m to 10m</t>
  </si>
  <si>
    <t>10.1.2.18</t>
  </si>
  <si>
    <t>Manhole 1200mm, Depth 10m to 10.5m</t>
  </si>
  <si>
    <t>10.1.2.19</t>
  </si>
  <si>
    <t>Manhole 1500mm, Depth 1.5m to 2.0m</t>
  </si>
  <si>
    <t>10.1.2.20</t>
  </si>
  <si>
    <t>Manhole 1500mm, Depth 2.0m to 2.5m</t>
  </si>
  <si>
    <t>10.1.2.21</t>
  </si>
  <si>
    <t>Manhole 1500mm, Depth 2.5m to 3.0m</t>
  </si>
  <si>
    <t>10.1.2.22</t>
  </si>
  <si>
    <t>Manhole 1500mm, Depth 3m to 3.5m</t>
  </si>
  <si>
    <t>10.1.2.23</t>
  </si>
  <si>
    <t>Manhole 1500mm, Depth 3.5m to 4m</t>
  </si>
  <si>
    <t>10.1.2.24</t>
  </si>
  <si>
    <t>Manhole 1500mm, Depth 4m to 4.5m</t>
  </si>
  <si>
    <t>10.1.2.25</t>
  </si>
  <si>
    <t>Manhole 1500mm, Depth 4.5m to 5m</t>
  </si>
  <si>
    <t>10.1.2.26</t>
  </si>
  <si>
    <t>Manhole 1500mm, Depth 5m to 5.5m</t>
  </si>
  <si>
    <t>10.1.2.27</t>
  </si>
  <si>
    <t>Manhole 1500mm, Depth 5.5m to 6m</t>
  </si>
  <si>
    <t>10.1.2.28</t>
  </si>
  <si>
    <t>Manhole 1500mm, Depth 6m to 6.5m</t>
  </si>
  <si>
    <t>10.1.2.29</t>
  </si>
  <si>
    <t>Manhole 1500mm, Depth 6.5m to 7m</t>
  </si>
  <si>
    <t>10.1.2.30</t>
  </si>
  <si>
    <t>Manhole 1500mm, Depth 7m to 7.5m</t>
  </si>
  <si>
    <t>10.1.2.31</t>
  </si>
  <si>
    <t>Manhole 1500mm, Depth 7.5m to 8m</t>
  </si>
  <si>
    <t>10.1.2.32</t>
  </si>
  <si>
    <t>Manhole 1500mm, Depth 8m to 8.5m</t>
  </si>
  <si>
    <t>10.1.2.33</t>
  </si>
  <si>
    <t>Manhole 1500mm, Depth 8.5m to 9m</t>
  </si>
  <si>
    <t>10.1.2.34</t>
  </si>
  <si>
    <t>Manhole 1500mm, Depth 9m to 9.5m</t>
  </si>
  <si>
    <t>10.1.2.35</t>
  </si>
  <si>
    <t>Manhole 1500mm, Depth 9.5m to 10m</t>
  </si>
  <si>
    <t>10.1.2.36</t>
  </si>
  <si>
    <t>Manhole 2000mm, Depth 2.5m to 3.0m</t>
  </si>
  <si>
    <t>10.1.2.37</t>
  </si>
  <si>
    <t>Manhole 2000mm, Depth 3m to 3.5m</t>
  </si>
  <si>
    <t>10.1.2.38</t>
  </si>
  <si>
    <t>Manhole 2000mm, Depth 3.5m to 4m</t>
  </si>
  <si>
    <t>10.1.2.39</t>
  </si>
  <si>
    <t>Manhole 2000mm, Depth 4m to 4.5m</t>
  </si>
  <si>
    <t>10.1.2.40</t>
  </si>
  <si>
    <t>Manhole 2000mm, Depth 4.5m to 5m</t>
  </si>
  <si>
    <t>10.1.2.41</t>
  </si>
  <si>
    <t>Manhole 2000mm, Depth 5m to 5.5m</t>
  </si>
  <si>
    <t>10.1.2.42</t>
  </si>
  <si>
    <t>Manhole 2000mm, Depth 5.5m to 6m</t>
  </si>
  <si>
    <t>10.1.2.43</t>
  </si>
  <si>
    <t>Manhole 2000mm, Depth 6m to 6.5m</t>
  </si>
  <si>
    <t>10.1.2.44</t>
  </si>
  <si>
    <t>Manhole 2000mm, Depth 6.5m to 7m</t>
  </si>
  <si>
    <t>10.1.2.45</t>
  </si>
  <si>
    <t>Manhole 2000mm, Depth 7m to 7.5m</t>
  </si>
  <si>
    <t>10.1.2.46</t>
  </si>
  <si>
    <t>Manhole 2000mm, Depth 7.5m to 8.0m</t>
  </si>
  <si>
    <t>10.1.2.47</t>
  </si>
  <si>
    <t>Manhole 2000mm, Depth 8m to 8.5m</t>
  </si>
  <si>
    <t>10.1.2.48</t>
  </si>
  <si>
    <t>Manhole 2000mm, Depth 8.5m to 9m</t>
  </si>
  <si>
    <t>10.1.2.49</t>
  </si>
  <si>
    <t>Manhole 2000mm, Depth 9m to 9.5m</t>
  </si>
  <si>
    <t>10.1.3</t>
  </si>
  <si>
    <t>Catchpit (2m x 1m) at Underpass of Depth Upto 1.5m</t>
  </si>
  <si>
    <t>10.1.4.1</t>
  </si>
  <si>
    <t>1600x1200 RCC Rectangular Shaft, Depth 3.5m to 4m</t>
  </si>
  <si>
    <t>10.1.4.2</t>
  </si>
  <si>
    <t>1600x1200 RCC Rectangular Shaft, Depth 4m to 4.5m</t>
  </si>
  <si>
    <t>10.1.4.3</t>
  </si>
  <si>
    <t>1600x1200 RCC Rectangular Shaft, Depth 4.5m to 5m</t>
  </si>
  <si>
    <t>10.1.4.4</t>
  </si>
  <si>
    <t>1600x1200 RCC Rectangular Shaft, Depth 5m to 5.5m</t>
  </si>
  <si>
    <t>10.1.4.5</t>
  </si>
  <si>
    <t>1800x1200 RCC Rectangular Shaft, Depth 3m to 3.5m</t>
  </si>
  <si>
    <t>10.1.4.6</t>
  </si>
  <si>
    <t>1800x1200 RCC Rectangular Shaft, Depth 3.5m to 4m</t>
  </si>
  <si>
    <t>10.1.4.7</t>
  </si>
  <si>
    <t>1800x1200 RCC Rectangular Shaft, Depth 4m to 4.5m</t>
  </si>
  <si>
    <t>10.1.4.8</t>
  </si>
  <si>
    <t>1800x1200 RCC Rectangular Shaft, Depth 4.5m to 5m</t>
  </si>
  <si>
    <t>10.1.4.9</t>
  </si>
  <si>
    <t>1800x1200 RCC Rectangular Shaft, Depth 5m to 5.5m</t>
  </si>
  <si>
    <t>10.1.4.10</t>
  </si>
  <si>
    <t>1800x1200 RCC Rectangular Shaft, Depth 5.5m to 6m</t>
  </si>
  <si>
    <t>10.1.4.11</t>
  </si>
  <si>
    <t>1800x1200 RCC Rectangular Shaft, Depth 6m to 6.5m</t>
  </si>
  <si>
    <t>10.1.4.12</t>
  </si>
  <si>
    <t>1800x1200 RCC Rectangular Shaft, Depth 6.5m to 7m</t>
  </si>
  <si>
    <t>10.1.4.13</t>
  </si>
  <si>
    <t>1800x1200 RCC Rectangular Shaft, Depth 7m to 7.5m</t>
  </si>
  <si>
    <t>10.1.4.15</t>
  </si>
  <si>
    <t>2000x1200 RCC Rectangular Shaft, Depth 4m to 4.5m</t>
  </si>
  <si>
    <t>10.1.4.16</t>
  </si>
  <si>
    <t>2000x1200 RCC Rectangular Shaft, Depth 4.5m to 5m</t>
  </si>
  <si>
    <t>10.1.4.17</t>
  </si>
  <si>
    <t>2000x1200 RCC Rectangular Shaft, Depth 5m to 5.5m</t>
  </si>
  <si>
    <t>10.1.4.18</t>
  </si>
  <si>
    <t>2000x1200 RCC Rectangular Shaft, Depth 5.5m to 6m</t>
  </si>
  <si>
    <t>10.1.4.19</t>
  </si>
  <si>
    <t>2000x1200 RCC Rectangular Shaft, Depth 6m to 6.5m</t>
  </si>
  <si>
    <t>10.1.4.20</t>
  </si>
  <si>
    <t>2500x1200 RCC Rectangular Shaft, Depth 4.5m to 5m</t>
  </si>
  <si>
    <t>10.1.4.21</t>
  </si>
  <si>
    <t>2500x1200 RCC Rectangular Shaft, Depth 5m to 5.5m</t>
  </si>
  <si>
    <t>10.1.4.22</t>
  </si>
  <si>
    <t>2500x1200 RCC Rectangular Shaft, Depth 6.5m to 7m</t>
  </si>
  <si>
    <t>10.2.1</t>
  </si>
  <si>
    <t>1600mm x 1600mm RCC Precast Box Conduit</t>
  </si>
  <si>
    <t>10.2.2</t>
  </si>
  <si>
    <t>1800mm x 1800mm RCC Precast Box Conduit</t>
  </si>
  <si>
    <t>10.2.3</t>
  </si>
  <si>
    <t>2000mm x 2000mm RCC Precast Box Conduit (printed as 10.2.2)</t>
  </si>
  <si>
    <t>10.2.4</t>
  </si>
  <si>
    <t>1800mm x 1400mm RCC Precast Box Conduit</t>
  </si>
  <si>
    <t>10.2.5</t>
  </si>
  <si>
    <t>2500mm x 2500mm RCC Precast Box Conduit</t>
  </si>
  <si>
    <t>10.3.1</t>
  </si>
  <si>
    <t>GRP Storm Sewer Pipe, 300 mm dia</t>
  </si>
  <si>
    <t>10.3.2</t>
  </si>
  <si>
    <t>GRP Storm Sewer Pipe, 400 mm dia</t>
  </si>
  <si>
    <t>10.3.3</t>
  </si>
  <si>
    <t>GRP Storm Sewer Pipe, 500 mm dia</t>
  </si>
  <si>
    <t>10.3.4</t>
  </si>
  <si>
    <t>GRP Storm Sewer Pipe, 600 mm dia</t>
  </si>
  <si>
    <t>10.3.5</t>
  </si>
  <si>
    <t>GRP Storm Sewer Pipe, 700 mm dia</t>
  </si>
  <si>
    <t>10.3.6</t>
  </si>
  <si>
    <t>GRP Storm Sewer Pipe, 800 mm dia</t>
  </si>
  <si>
    <t>10.3.7</t>
  </si>
  <si>
    <t>GRP Storm Sewer Pipe, 900 mm dia</t>
  </si>
  <si>
    <t>10.3.8</t>
  </si>
  <si>
    <t>GRP Storm Sewer Pipe, 1000 mm dia</t>
  </si>
  <si>
    <t>10.3.9</t>
  </si>
  <si>
    <t>GRP Storm Sewer Pipe, 1200 mm dia</t>
  </si>
  <si>
    <t>10.3.10</t>
  </si>
  <si>
    <t>GRP Storm Sewer Pipe, 1400 mm dia</t>
  </si>
  <si>
    <t>10.3.11</t>
  </si>
  <si>
    <t>GRP Storm Sewer Pipe, 1600 mm dia</t>
  </si>
  <si>
    <t>10.4</t>
  </si>
  <si>
    <t>Geotextile for StormWater Drainage mainline, Type II Fabric 250 g/m2</t>
  </si>
  <si>
    <t>10.5</t>
  </si>
  <si>
    <t>Supply and Installation of Saucer drain including Concrete Base</t>
  </si>
  <si>
    <t>10.6.1.1</t>
  </si>
  <si>
    <t>HDPE Irrigation Pipe PN10, 50 mm dia</t>
  </si>
  <si>
    <t>10.6.1.2</t>
  </si>
  <si>
    <t>HDPE Irrigation Pipe PN10, 63 mm dia</t>
  </si>
  <si>
    <t>10.6.1.3</t>
  </si>
  <si>
    <t>HDPE Irrigation Pipe PN10, 75 mm dia</t>
  </si>
  <si>
    <t>10.6.1.4</t>
  </si>
  <si>
    <t>HDPE Irrigation Pipe PN10, 90 mm dia</t>
  </si>
  <si>
    <t>10.6.1.5</t>
  </si>
  <si>
    <t>HDPE Irrigation Pipe PN10, 110 mm dia</t>
  </si>
  <si>
    <t>10.6.1.6</t>
  </si>
  <si>
    <t>HDPE Irrigation Pipe PN10, 125 mm dia</t>
  </si>
  <si>
    <t>10.6.1.7</t>
  </si>
  <si>
    <t>HDPE Irrigation Pipe PN10, 140 mm dia</t>
  </si>
  <si>
    <t>10.6.1.8</t>
  </si>
  <si>
    <t>HDPE Irrigation Pipe PN10, 180 mm dia</t>
  </si>
  <si>
    <t>10.6.1.9</t>
  </si>
  <si>
    <t>HDPE Irrigation Pipe PN10, 200 mm dia</t>
  </si>
  <si>
    <t>10.6.1.10</t>
  </si>
  <si>
    <t>HDPE Irrigation Pipe PN10, 225 mm dia</t>
  </si>
  <si>
    <t>10.6.1.11</t>
  </si>
  <si>
    <t>HDPE Irrigation Pipe PN10, 250 mm dia</t>
  </si>
  <si>
    <t>10.6.2.1</t>
  </si>
  <si>
    <t>HDPE Irrigation Pipe PN16, 50 mm dia</t>
  </si>
  <si>
    <t>10.6.2.2</t>
  </si>
  <si>
    <t>HDPE Irrigation Pipe PN16, 63 mm dia</t>
  </si>
  <si>
    <t>10.6.2.3</t>
  </si>
  <si>
    <t>HDPE Irrigation Pipe PN16, 75 mm dia</t>
  </si>
  <si>
    <t>10.6.2.4</t>
  </si>
  <si>
    <t>HDPE Irrigation Pipe PN16, 90 mm dia</t>
  </si>
  <si>
    <t>10.6.2.5</t>
  </si>
  <si>
    <t>HDPE Irrigation Pipe PN16, 110 mm dia</t>
  </si>
  <si>
    <t>10.6.2.6</t>
  </si>
  <si>
    <t>HDPE Irrigation Pipe PN16, 125 mm dia</t>
  </si>
  <si>
    <t>10.6.2.7</t>
  </si>
  <si>
    <t>HDPE Irrigation Pipe PN16, 140 mm dia</t>
  </si>
  <si>
    <t>10.6.2.8</t>
  </si>
  <si>
    <t>HDPE Irrigation Pipe PN16, 180 mm dia</t>
  </si>
  <si>
    <t>10.6.2.9</t>
  </si>
  <si>
    <t>HDPE Irrigation Pipe PN16, 225 mm dia</t>
  </si>
  <si>
    <t>10.6.2.10</t>
  </si>
  <si>
    <t>HDPE Irrigation Pipe PN16, 250 mm dia</t>
  </si>
  <si>
    <t>10.7.1.1</t>
  </si>
  <si>
    <t>Air Valve Type II- 50 mm</t>
  </si>
  <si>
    <t>10.7.1.1(2)</t>
  </si>
  <si>
    <t>Air Valve Type II- 63 mm (item no. printed as 10.7.1.1)</t>
  </si>
  <si>
    <t>10.7.1.2</t>
  </si>
  <si>
    <t>Air Valve Type II- 75 mm</t>
  </si>
  <si>
    <t>10.7.1.3</t>
  </si>
  <si>
    <t>Air Valve Type II- 90 mm</t>
  </si>
  <si>
    <t>10.7.1.4</t>
  </si>
  <si>
    <t>Air Valve Type II- 110 mm</t>
  </si>
  <si>
    <t>10.7.1.5</t>
  </si>
  <si>
    <t>Air Valve Type II- 125 mm</t>
  </si>
  <si>
    <t>10.7.1.6</t>
  </si>
  <si>
    <t>Air Valve Type II- 140 mm</t>
  </si>
  <si>
    <t>10.7.1.7</t>
  </si>
  <si>
    <t>Air Valve Type II- 180 mm</t>
  </si>
  <si>
    <t>10.7.1.8</t>
  </si>
  <si>
    <t>Air Valve Type II- 225 mm</t>
  </si>
  <si>
    <t>10.7.1.9</t>
  </si>
  <si>
    <t>Air Valve Type II- 250 mm</t>
  </si>
  <si>
    <t>10.7.2.1</t>
  </si>
  <si>
    <t>Valve, Gate, 50 mm</t>
  </si>
  <si>
    <t>10.7.2.2</t>
  </si>
  <si>
    <t>Valve, Gate, 63 mm</t>
  </si>
  <si>
    <t>10.7.2.3</t>
  </si>
  <si>
    <t>Valve, Gate, 75 mm</t>
  </si>
  <si>
    <t>10.7.2.4</t>
  </si>
  <si>
    <t>Valve, Gate, 90 mm</t>
  </si>
  <si>
    <t>10.7.2.5</t>
  </si>
  <si>
    <t>Valve, Gate, 110 mm</t>
  </si>
  <si>
    <t>10.7.2.6</t>
  </si>
  <si>
    <t>Valve, Gate, 125 mm</t>
  </si>
  <si>
    <t>10.7.2.7</t>
  </si>
  <si>
    <t>Valve, Gate, 140 mm</t>
  </si>
  <si>
    <t>10.7.2.8</t>
  </si>
  <si>
    <t>Valve, Gate, 200 mm</t>
  </si>
  <si>
    <t>10.7.2.9</t>
  </si>
  <si>
    <t>Valve, Gate, 225 mm</t>
  </si>
  <si>
    <t>10.7.2.10</t>
  </si>
  <si>
    <t>Valve, Gate, 250 mm</t>
  </si>
  <si>
    <t>10.7.3.1</t>
  </si>
  <si>
    <t>Pressure Reducing Valve, 50 mm</t>
  </si>
  <si>
    <t>10.7.3.2</t>
  </si>
  <si>
    <t>Pressure Reducing Valve, 63 mm</t>
  </si>
  <si>
    <t>10.7.3.3</t>
  </si>
  <si>
    <t>Pressure Reducing Valve, 75 mm</t>
  </si>
  <si>
    <t>10.7.3.4</t>
  </si>
  <si>
    <t>Pressure Reducing Valve, 90 mm</t>
  </si>
  <si>
    <t>10.7.3.5</t>
  </si>
  <si>
    <t>Pressure Reducing Valve, 110 mm</t>
  </si>
  <si>
    <t>10.7.3.6</t>
  </si>
  <si>
    <t>Pressure Reducing Valve, 125 mm</t>
  </si>
  <si>
    <t>10.7.3.7</t>
  </si>
  <si>
    <t>Pressure Reducing Valve, 225 mm</t>
  </si>
  <si>
    <t>10.7.4.1</t>
  </si>
  <si>
    <t>Remote Control Valve (Solenoid), 180 mm</t>
  </si>
  <si>
    <t>10.7.4.2</t>
  </si>
  <si>
    <t>Remote Control Valve (Solenoid), 250 mm</t>
  </si>
  <si>
    <t>10.7.5.1</t>
  </si>
  <si>
    <t>Washout Valve, 80 mm</t>
  </si>
  <si>
    <t>10.7.5.1(2)</t>
  </si>
  <si>
    <t>Washout Valve, 100 mm (item no. printed as 10.7.5.1)</t>
  </si>
  <si>
    <t>10.7.6.1</t>
  </si>
  <si>
    <t>Flow Valve, 50 mm</t>
  </si>
  <si>
    <t>10.7.6.2</t>
  </si>
  <si>
    <t>Flow Valve, 90 mm</t>
  </si>
  <si>
    <t>10.7.6.3</t>
  </si>
  <si>
    <t>Flow Valve, 110 mm</t>
  </si>
  <si>
    <t>10.7.6.4</t>
  </si>
  <si>
    <t>Flow Valve, 125 mm</t>
  </si>
  <si>
    <t>10.7.6.5</t>
  </si>
  <si>
    <t>Flow Valve, 140 mm</t>
  </si>
  <si>
    <t>10.7.6.6</t>
  </si>
  <si>
    <t>Flow Valve, 200 mm</t>
  </si>
  <si>
    <t>10.7.6.7</t>
  </si>
  <si>
    <t>Flow Valve, 250 mm</t>
  </si>
  <si>
    <t>10.8.1</t>
  </si>
  <si>
    <t>Horizontal Centrifugal pump 55.52 cum/hr, 40m Head</t>
  </si>
  <si>
    <t>10.8.2</t>
  </si>
  <si>
    <t>Horizontal Centrifugal pump 38.87 cum/hr, 40m Head</t>
  </si>
  <si>
    <t>10.8.3</t>
  </si>
  <si>
    <t>Horizontal Centrifugal pump 33.1 cum/hr, 40m Head</t>
  </si>
  <si>
    <t>10.8.4</t>
  </si>
  <si>
    <t>Horizontal Centrifugal pump 129.23 cum/hr, 50m Head</t>
  </si>
  <si>
    <t>10.8.5</t>
  </si>
  <si>
    <t>Horizontal Centrifugal pump 90.46 cum/hr, 50m Head</t>
  </si>
  <si>
    <t>10.8.6</t>
  </si>
  <si>
    <t>Horizontal Centrifugal pump 58.15 cum/hr, 50m Head</t>
  </si>
  <si>
    <t>10.8.7</t>
  </si>
  <si>
    <t>Submersible Drain pump 18.51 cum/hr, 10m Head</t>
  </si>
  <si>
    <t>10.8.8</t>
  </si>
  <si>
    <t>Submersible Drain pump 41.35 cum/hr, 15m Head</t>
  </si>
  <si>
    <t>10.9.1</t>
  </si>
  <si>
    <t>RCC Underground Irrigation Pumping Station with 670 KL Storage Tank</t>
  </si>
  <si>
    <t>10.9.2</t>
  </si>
  <si>
    <t>RCC Underground Irrigation Pumping Station with 1560 KL Storage Tank</t>
  </si>
  <si>
    <t>10.9.3</t>
  </si>
  <si>
    <t>RCC Underground Irrigation Pumping Station with 1000 KL Tank (Sec D connection)</t>
  </si>
  <si>
    <t>10.9.4</t>
  </si>
  <si>
    <t>Fertilizer Tank with Injector for 670KL Tank</t>
  </si>
  <si>
    <t>10.9.5</t>
  </si>
  <si>
    <t>Fertilizer Tank with Injector for 1560KL Tank</t>
  </si>
  <si>
    <t>10.9.6</t>
  </si>
  <si>
    <t>Pumping Station Chain link fence and gates (Zone 1)</t>
  </si>
  <si>
    <t>10.9.7</t>
  </si>
  <si>
    <t>Pumping Station Chain link fence and gates (Zone 2)</t>
  </si>
  <si>
    <t>10.10.1</t>
  </si>
  <si>
    <t>Reuse/reprofile existing 1800mm x 1400mm Box Conduit</t>
  </si>
  <si>
    <t>10.10.2</t>
  </si>
  <si>
    <t>Reuse/reprofile existing Shaft/Manhole for the Conduit</t>
  </si>
  <si>
    <t>Month</t>
  </si>
  <si>
    <t>Planned Value (excl VAT)</t>
  </si>
  <si>
    <t>Planned Cum Value</t>
  </si>
  <si>
    <t>Planned Cum %</t>
  </si>
  <si>
    <t>Paste monthly planned value from the P6 baseline (cost-loaded S-curve / spending plan).</t>
  </si>
  <si>
    <t>Or: site → Import File → drop the baseline .xer → Export what's loaded.</t>
  </si>
  <si>
    <t>Add or delete month rows as needed (dates = 1st of month).</t>
  </si>
  <si>
    <t>Planned %</t>
  </si>
  <si>
    <t>Actual %</t>
  </si>
  <si>
    <t>Physical progress from each P6 update (Planned % = baseline, Actual % = performance % complete).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</si>
</sst>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dd-mmm-yyyy"/>
    <numFmt numFmtId="166" formatCode="mmm-yyyy"/>
    <numFmt numFmtId="167" formatCode="0.00%"/>
  </numFmts>
  <fonts count="5">
    <font>
      <sz val="11"/>
      <color theme="1"/>
      <name val="Calibri"/>
      <family val="2"/>
      <scheme val="minor"/>
    </font>
    <font>
      <b/>
      <sz val="14"/>
      <color rgb="FF0F6B45"/>
      <name val="Calibri"/>
      <family val="2"/>
      <scheme val="minor"/>
    </font>
    <font>
      <b/>
      <sz val="13"/>
      <color rgb="FF0F6B45"/>
      <name val="Calibri"/>
      <family val="2"/>
      <scheme val="minor"/>
    </font>
    <font>
      <i/>
      <sz val="11"/>
      <color rgb="FF7A878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6B45"/>
        <bgColor indexed="64"/>
      </patternFill>
    </fill>
    <fill>
      <patternFill patternType="solid">
        <fgColor rgb="FFFFF8E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readingOrder="2"/>
    </xf>
    <xf numFmtId="0" fontId="0" fillId="0" borderId="0" xfId="0" applyAlignment="1">
      <alignment horizontal="right" readingOrder="2"/>
    </xf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5" fontId="0" fillId="3" borderId="1" xfId="0" applyNumberFormat="1" applyFill="1" applyBorder="1"/>
    <xf numFmtId="164" fontId="0" fillId="3" borderId="1" xfId="0" applyNumberFormat="1" applyFill="1" applyBorder="1"/>
    <xf numFmtId="0" fontId="0" fillId="0" borderId="1" xfId="0" applyBorder="1" applyAlignment="1">
      <alignment wrapText="1"/>
    </xf>
    <xf numFmtId="166" fontId="0" fillId="0" borderId="1" xfId="0" applyNumberFormat="1" applyBorder="1"/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100.7109375" customWidth="1"/>
    <col min="2" max="2" width="90.7109375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s="3" t="s">
        <v>3</v>
      </c>
    </row>
    <row r="3" spans="1:2">
      <c r="A3" t="s">
        <v>4</v>
      </c>
      <c r="B3" s="3" t="s">
        <v>5</v>
      </c>
    </row>
    <row r="4" spans="1:2">
      <c r="A4" t="s">
        <v>6</v>
      </c>
      <c r="B4" s="3" t="s">
        <v>7</v>
      </c>
    </row>
    <row r="5" spans="1:2">
      <c r="A5" t="s">
        <v>8</v>
      </c>
      <c r="B5" s="3" t="s">
        <v>9</v>
      </c>
    </row>
    <row r="6" spans="1:2">
      <c r="A6" t="s">
        <v>10</v>
      </c>
      <c r="B6" s="3" t="s">
        <v>11</v>
      </c>
    </row>
    <row r="7" spans="1:2">
      <c r="A7" t="s">
        <v>12</v>
      </c>
      <c r="B7" s="3" t="s">
        <v>13</v>
      </c>
    </row>
    <row r="8" spans="1:2">
      <c r="A8" t="s">
        <v>14</v>
      </c>
      <c r="B8" s="3" t="s">
        <v>15</v>
      </c>
    </row>
    <row r="9" spans="1:2">
      <c r="B9" s="3"/>
    </row>
    <row r="10" spans="1:2">
      <c r="A10" s="1" t="s">
        <v>16</v>
      </c>
      <c r="B10" s="2" t="s">
        <v>17</v>
      </c>
    </row>
    <row r="11" spans="1:2">
      <c r="A11" t="s">
        <v>18</v>
      </c>
      <c r="B11" s="3" t="s">
        <v>19</v>
      </c>
    </row>
    <row r="12" spans="1:2">
      <c r="A12" t="s">
        <v>20</v>
      </c>
      <c r="B12" s="3" t="s">
        <v>21</v>
      </c>
    </row>
    <row r="13" spans="1:2">
      <c r="A13" t="s">
        <v>22</v>
      </c>
      <c r="B13" s="3" t="s">
        <v>23</v>
      </c>
    </row>
    <row r="14" spans="1:2">
      <c r="A14" t="s">
        <v>24</v>
      </c>
      <c r="B14" s="3" t="s">
        <v>25</v>
      </c>
    </row>
    <row r="16" spans="1:2">
      <c r="A16" s="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cols>
    <col min="1" max="1" width="36.7109375" customWidth="1"/>
    <col min="2" max="2" width="44.7109375" customWidth="1"/>
    <col min="3" max="3" width="60.7109375" customWidth="1"/>
  </cols>
  <sheetData>
    <row r="1" spans="1:3">
      <c r="A1" s="5" t="s">
        <v>27</v>
      </c>
      <c r="B1" s="5" t="s">
        <v>28</v>
      </c>
      <c r="C1" s="5" t="s">
        <v>29</v>
      </c>
    </row>
    <row r="2" spans="1:3">
      <c r="A2" s="6" t="s">
        <v>30</v>
      </c>
      <c r="B2" s="6" t="s">
        <v>31</v>
      </c>
      <c r="C2" s="4"/>
    </row>
    <row r="3" spans="1:3">
      <c r="A3" s="6" t="s">
        <v>32</v>
      </c>
      <c r="B3" s="6" t="s">
        <v>33</v>
      </c>
      <c r="C3" s="4"/>
    </row>
    <row r="4" spans="1:3">
      <c r="A4" s="6" t="s">
        <v>34</v>
      </c>
      <c r="B4" s="6" t="s">
        <v>35</v>
      </c>
      <c r="C4" s="4"/>
    </row>
    <row r="5" spans="1:3">
      <c r="A5" s="6" t="s">
        <v>36</v>
      </c>
      <c r="B5" s="6" t="s">
        <v>37</v>
      </c>
      <c r="C5" s="4"/>
    </row>
    <row r="6" spans="1:3">
      <c r="A6" s="6" t="s">
        <v>38</v>
      </c>
      <c r="B6" s="6" t="s">
        <v>39</v>
      </c>
      <c r="C6" s="4"/>
    </row>
    <row r="7" spans="1:3">
      <c r="A7" s="6" t="s">
        <v>40</v>
      </c>
      <c r="B7" s="7">
        <v>1557000000.1</v>
      </c>
      <c r="C7" s="4"/>
    </row>
    <row r="8" spans="1:3">
      <c r="A8" s="6" t="s">
        <v>41</v>
      </c>
      <c r="B8" s="7">
        <v>1790550000.11</v>
      </c>
      <c r="C8" s="4"/>
    </row>
    <row r="9" spans="1:3">
      <c r="A9" s="6" t="s">
        <v>42</v>
      </c>
      <c r="B9" s="7">
        <v>0</v>
      </c>
      <c r="C9" s="4"/>
    </row>
    <row r="10" spans="1:3">
      <c r="A10" s="6" t="s">
        <v>43</v>
      </c>
      <c r="B10" s="7">
        <v>179055000.01</v>
      </c>
      <c r="C10" s="4"/>
    </row>
    <row r="11" spans="1:3">
      <c r="A11" s="6" t="s">
        <v>44</v>
      </c>
      <c r="B11" s="7">
        <v>15</v>
      </c>
      <c r="C11" s="4"/>
    </row>
    <row r="12" spans="1:3">
      <c r="A12" s="6" t="s">
        <v>45</v>
      </c>
      <c r="B12" s="7">
        <v>10</v>
      </c>
      <c r="C12" s="4"/>
    </row>
    <row r="13" spans="1:3">
      <c r="A13" s="6" t="s">
        <v>46</v>
      </c>
      <c r="B13" s="7">
        <v>0</v>
      </c>
      <c r="C13" s="4"/>
    </row>
    <row r="14" spans="1:3">
      <c r="A14" s="6" t="s">
        <v>47</v>
      </c>
      <c r="B14" s="8">
        <v>45945</v>
      </c>
      <c r="C14" s="4" t="s">
        <v>48</v>
      </c>
    </row>
    <row r="15" spans="1:3">
      <c r="A15" s="6" t="s">
        <v>49</v>
      </c>
      <c r="B15" s="9"/>
      <c r="C15" s="4" t="s">
        <v>50</v>
      </c>
    </row>
    <row r="16" spans="1:3">
      <c r="A16" s="6" t="s">
        <v>51</v>
      </c>
      <c r="B16" s="9">
        <v>46256</v>
      </c>
      <c r="C16" s="4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3" width="13.7109375" customWidth="1"/>
    <col min="4" max="8" width="19.7109375" customWidth="1"/>
    <col min="9" max="9" width="12.7109375" customWidth="1"/>
    <col min="10" max="10" width="16.7109375" customWidth="1"/>
    <col min="11" max="11" width="13.7109375" customWidth="1"/>
    <col min="12" max="12" width="30.7109375" customWidth="1"/>
  </cols>
  <sheetData>
    <row r="1" spans="1:12" ht="32" customHeight="1">
      <c r="A1" s="5" t="s">
        <v>53</v>
      </c>
      <c r="B1" s="5" t="s">
        <v>54</v>
      </c>
      <c r="C1" s="5" t="s">
        <v>55</v>
      </c>
      <c r="D1" s="5" t="s">
        <v>56</v>
      </c>
      <c r="E1" s="5" t="s">
        <v>57</v>
      </c>
      <c r="F1" s="5" t="s">
        <v>58</v>
      </c>
      <c r="G1" s="5" t="s">
        <v>59</v>
      </c>
      <c r="H1" s="5" t="s">
        <v>60</v>
      </c>
      <c r="I1" s="5" t="s">
        <v>61</v>
      </c>
      <c r="J1" s="5" t="s">
        <v>62</v>
      </c>
      <c r="K1" s="5" t="s">
        <v>63</v>
      </c>
      <c r="L1" s="5" t="s">
        <v>64</v>
      </c>
    </row>
    <row r="2" spans="1:12">
      <c r="A2" s="6">
        <v>1</v>
      </c>
      <c r="B2" s="8">
        <v>45945</v>
      </c>
      <c r="C2" s="8">
        <v>46075</v>
      </c>
      <c r="D2" s="7">
        <v>1409896.37</v>
      </c>
      <c r="E2" s="7">
        <v>140989.64</v>
      </c>
      <c r="F2" s="7">
        <v>190336.01</v>
      </c>
      <c r="G2" s="7">
        <v>0</v>
      </c>
      <c r="H2" s="7">
        <v>1459242.74</v>
      </c>
      <c r="I2" s="6" t="s">
        <v>65</v>
      </c>
      <c r="J2" s="10"/>
      <c r="K2" s="9"/>
      <c r="L2" s="6"/>
    </row>
    <row r="3" spans="1:12">
      <c r="A3" s="6">
        <v>2</v>
      </c>
      <c r="B3" s="8">
        <v>46076</v>
      </c>
      <c r="C3" s="8">
        <v>46103</v>
      </c>
      <c r="D3" s="7">
        <v>656249.4</v>
      </c>
      <c r="E3" s="7">
        <v>65624.94</v>
      </c>
      <c r="F3" s="7">
        <v>88593.67</v>
      </c>
      <c r="G3" s="7">
        <v>0</v>
      </c>
      <c r="H3" s="7">
        <v>679218.13</v>
      </c>
      <c r="I3" s="6" t="s">
        <v>65</v>
      </c>
      <c r="J3" s="10"/>
      <c r="K3" s="9"/>
      <c r="L3" s="6"/>
    </row>
    <row r="4" spans="1:12">
      <c r="A4" s="6">
        <v>3</v>
      </c>
      <c r="B4" s="8">
        <v>46104</v>
      </c>
      <c r="C4" s="8">
        <v>46134</v>
      </c>
      <c r="D4" s="7">
        <v>3620445.21</v>
      </c>
      <c r="E4" s="7">
        <v>362044.52</v>
      </c>
      <c r="F4" s="7">
        <v>488760.1</v>
      </c>
      <c r="G4" s="7">
        <v>0</v>
      </c>
      <c r="H4" s="7">
        <v>3747160.79</v>
      </c>
      <c r="I4" s="6" t="s">
        <v>65</v>
      </c>
      <c r="J4" s="10"/>
      <c r="K4" s="9"/>
      <c r="L4" s="6"/>
    </row>
    <row r="5" spans="1:12">
      <c r="A5" s="6">
        <v>4</v>
      </c>
      <c r="B5" s="8">
        <v>46135</v>
      </c>
      <c r="C5" s="8">
        <v>46164</v>
      </c>
      <c r="D5" s="7">
        <v>4926757.07</v>
      </c>
      <c r="E5" s="7">
        <v>492675.71</v>
      </c>
      <c r="F5" s="7">
        <v>665112.2</v>
      </c>
      <c r="G5" s="7">
        <v>0</v>
      </c>
      <c r="H5" s="7">
        <v>5099193.57</v>
      </c>
      <c r="I5" s="6" t="s">
        <v>65</v>
      </c>
      <c r="J5" s="10"/>
      <c r="K5" s="9"/>
      <c r="L5" s="6"/>
    </row>
    <row r="6" spans="1:12">
      <c r="A6" s="6">
        <v>5</v>
      </c>
      <c r="B6" s="8">
        <v>46165</v>
      </c>
      <c r="C6" s="8">
        <v>46195</v>
      </c>
      <c r="D6" s="7">
        <v>3099142.08</v>
      </c>
      <c r="E6" s="7">
        <v>309914.21</v>
      </c>
      <c r="F6" s="7">
        <v>418384.18</v>
      </c>
      <c r="G6" s="7">
        <v>0</v>
      </c>
      <c r="H6" s="7">
        <v>3207612.05</v>
      </c>
      <c r="I6" s="6" t="s">
        <v>65</v>
      </c>
      <c r="J6" s="10"/>
      <c r="K6" s="9"/>
      <c r="L6" s="6"/>
    </row>
    <row r="7" spans="1:12">
      <c r="A7" s="6">
        <v>6</v>
      </c>
      <c r="B7" s="8">
        <v>46196</v>
      </c>
      <c r="C7" s="8">
        <v>46225</v>
      </c>
      <c r="D7" s="7">
        <v>4881764.98</v>
      </c>
      <c r="E7" s="7">
        <v>488176.5</v>
      </c>
      <c r="F7" s="7">
        <v>659038.27</v>
      </c>
      <c r="G7" s="7">
        <v>0</v>
      </c>
      <c r="H7" s="7">
        <v>5052626.75</v>
      </c>
      <c r="I7" s="6" t="s">
        <v>65</v>
      </c>
      <c r="J7" s="10"/>
      <c r="K7" s="9"/>
      <c r="L7" s="6"/>
    </row>
    <row r="8" spans="1:12">
      <c r="A8" s="6">
        <v>7</v>
      </c>
      <c r="B8" s="8">
        <v>46226</v>
      </c>
      <c r="C8" s="8">
        <v>46256</v>
      </c>
      <c r="D8" s="7">
        <v>33138886.06</v>
      </c>
      <c r="E8" s="7">
        <v>3313888.61</v>
      </c>
      <c r="F8" s="7">
        <v>4473749.62</v>
      </c>
      <c r="G8" s="7">
        <v>0</v>
      </c>
      <c r="H8" s="7">
        <v>34298747.07</v>
      </c>
      <c r="I8" s="6" t="s">
        <v>66</v>
      </c>
      <c r="J8" s="10"/>
      <c r="K8" s="9"/>
      <c r="L8" s="6"/>
    </row>
    <row r="9" spans="1:12">
      <c r="A9" s="10"/>
      <c r="B9" s="9"/>
      <c r="C9" s="9"/>
      <c r="D9" s="10"/>
      <c r="E9" s="10"/>
      <c r="F9" s="10"/>
      <c r="G9" s="10"/>
      <c r="H9" s="10"/>
      <c r="I9" s="10"/>
      <c r="J9" s="10"/>
      <c r="K9" s="9"/>
      <c r="L9" s="10"/>
    </row>
    <row r="10" spans="1:12">
      <c r="A10" s="10"/>
      <c r="B10" s="9"/>
      <c r="C10" s="9"/>
      <c r="D10" s="10"/>
      <c r="E10" s="10"/>
      <c r="F10" s="10"/>
      <c r="G10" s="10"/>
      <c r="H10" s="10"/>
      <c r="I10" s="10"/>
      <c r="J10" s="10"/>
      <c r="K10" s="9"/>
      <c r="L10" s="10"/>
    </row>
    <row r="11" spans="1:12">
      <c r="A11" s="10"/>
      <c r="B11" s="9"/>
      <c r="C11" s="9"/>
      <c r="D11" s="10"/>
      <c r="E11" s="10"/>
      <c r="F11" s="10"/>
      <c r="G11" s="10"/>
      <c r="H11" s="10"/>
      <c r="I11" s="10"/>
      <c r="J11" s="10"/>
      <c r="K11" s="9"/>
      <c r="L11" s="10"/>
    </row>
  </sheetData>
  <dataValidations count="1">
    <dataValidation type="list" allowBlank="1" showInputMessage="1" showErrorMessage="1" sqref="I2:I201">
      <formula1>"Submitted,Certified,Paid,Rejected"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46.7109375" customWidth="1"/>
    <col min="3" max="6" width="19.7109375" customWidth="1"/>
    <col min="7" max="7" width="14.7109375" customWidth="1"/>
  </cols>
  <sheetData>
    <row r="1" spans="1:7" ht="32" customHeight="1">
      <c r="A1" s="5" t="s">
        <v>67</v>
      </c>
      <c r="B1" s="5" t="s">
        <v>68</v>
      </c>
      <c r="C1" s="5" t="s">
        <v>69</v>
      </c>
      <c r="D1" s="5" t="s">
        <v>70</v>
      </c>
      <c r="E1" s="5" t="s">
        <v>71</v>
      </c>
      <c r="F1" s="5" t="s">
        <v>72</v>
      </c>
      <c r="G1" s="5" t="s">
        <v>73</v>
      </c>
    </row>
    <row r="2" spans="1:7">
      <c r="A2" s="6" t="s">
        <v>74</v>
      </c>
      <c r="B2" s="6" t="s">
        <v>75</v>
      </c>
      <c r="C2" s="7">
        <v>0</v>
      </c>
      <c r="D2" s="10">
        <v>0</v>
      </c>
      <c r="E2" s="10">
        <v>0</v>
      </c>
      <c r="F2" s="10">
        <v>0</v>
      </c>
      <c r="G2" s="10"/>
    </row>
    <row r="3" spans="1:7">
      <c r="A3" s="6" t="s">
        <v>76</v>
      </c>
      <c r="B3" s="6" t="s">
        <v>77</v>
      </c>
      <c r="C3" s="7">
        <v>90825644.98</v>
      </c>
      <c r="D3" s="10">
        <v>3086007.57</v>
      </c>
      <c r="E3" s="10">
        <v>215072.73</v>
      </c>
      <c r="F3" s="10">
        <v>3301080.3</v>
      </c>
      <c r="G3" s="10"/>
    </row>
    <row r="4" spans="1:7">
      <c r="A4" s="6" t="s">
        <v>78</v>
      </c>
      <c r="B4" s="6" t="s">
        <v>79</v>
      </c>
      <c r="C4" s="7">
        <v>47371713.86</v>
      </c>
      <c r="D4" s="10">
        <v>0</v>
      </c>
      <c r="E4" s="10">
        <v>0</v>
      </c>
      <c r="F4" s="10">
        <v>0</v>
      </c>
      <c r="G4" s="10"/>
    </row>
    <row r="5" spans="1:7">
      <c r="A5" s="6" t="s">
        <v>80</v>
      </c>
      <c r="B5" s="6" t="s">
        <v>81</v>
      </c>
      <c r="C5" s="7">
        <v>171682971.5</v>
      </c>
      <c r="D5" s="10">
        <v>0</v>
      </c>
      <c r="E5" s="10">
        <v>0</v>
      </c>
      <c r="F5" s="10">
        <v>0</v>
      </c>
      <c r="G5" s="10"/>
    </row>
    <row r="6" spans="1:7">
      <c r="A6" s="6" t="s">
        <v>82</v>
      </c>
      <c r="B6" s="6" t="s">
        <v>83</v>
      </c>
      <c r="C6" s="7">
        <v>52056078.88</v>
      </c>
      <c r="D6" s="10">
        <v>0</v>
      </c>
      <c r="E6" s="10">
        <v>0</v>
      </c>
      <c r="F6" s="10">
        <v>0</v>
      </c>
      <c r="G6" s="10"/>
    </row>
    <row r="7" spans="1:7">
      <c r="A7" s="6" t="s">
        <v>84</v>
      </c>
      <c r="B7" s="6" t="s">
        <v>85</v>
      </c>
      <c r="C7" s="7">
        <v>94018403.04000001</v>
      </c>
      <c r="D7" s="10">
        <v>8674314.300000001</v>
      </c>
      <c r="E7" s="10">
        <v>17610032.03</v>
      </c>
      <c r="F7" s="10">
        <v>26284346.33</v>
      </c>
      <c r="G7" s="10"/>
    </row>
    <row r="8" spans="1:7">
      <c r="A8" s="6" t="s">
        <v>86</v>
      </c>
      <c r="B8" s="6" t="s">
        <v>87</v>
      </c>
      <c r="C8" s="7">
        <v>93631147.04000001</v>
      </c>
      <c r="D8" s="10">
        <v>1974696.69</v>
      </c>
      <c r="E8" s="10">
        <v>9848160.52</v>
      </c>
      <c r="F8" s="10">
        <v>11822857.21</v>
      </c>
      <c r="G8" s="10"/>
    </row>
    <row r="9" spans="1:7">
      <c r="A9" s="6" t="s">
        <v>88</v>
      </c>
      <c r="B9" s="6" t="s">
        <v>89</v>
      </c>
      <c r="C9" s="7">
        <v>81506724.92</v>
      </c>
      <c r="D9" s="10">
        <v>0</v>
      </c>
      <c r="E9" s="10">
        <v>1358425.14</v>
      </c>
      <c r="F9" s="10">
        <v>1358425.14</v>
      </c>
      <c r="G9" s="10"/>
    </row>
    <row r="10" spans="1:7">
      <c r="A10" s="6" t="s">
        <v>90</v>
      </c>
      <c r="B10" s="6" t="s">
        <v>91</v>
      </c>
      <c r="C10" s="7">
        <v>26754465.6</v>
      </c>
      <c r="D10" s="10">
        <v>0</v>
      </c>
      <c r="E10" s="10">
        <v>0</v>
      </c>
      <c r="F10" s="10">
        <v>0</v>
      </c>
      <c r="G10" s="10"/>
    </row>
    <row r="11" spans="1:7">
      <c r="A11" s="6" t="s">
        <v>92</v>
      </c>
      <c r="B11" s="6" t="s">
        <v>93</v>
      </c>
      <c r="C11" s="7">
        <v>32793604.4</v>
      </c>
      <c r="D11" s="10">
        <v>0</v>
      </c>
      <c r="E11" s="10">
        <v>0</v>
      </c>
      <c r="F11" s="10">
        <v>0</v>
      </c>
      <c r="G11" s="10"/>
    </row>
    <row r="12" spans="1:7">
      <c r="A12" s="6" t="s">
        <v>94</v>
      </c>
      <c r="B12" s="6" t="s">
        <v>95</v>
      </c>
      <c r="C12" s="7">
        <v>41934082.47</v>
      </c>
      <c r="D12" s="10">
        <v>508801.46</v>
      </c>
      <c r="E12" s="10">
        <v>764204.0699999999</v>
      </c>
      <c r="F12" s="10">
        <v>1273005.53</v>
      </c>
      <c r="G12" s="10"/>
    </row>
    <row r="13" spans="1:7">
      <c r="A13" s="6" t="s">
        <v>96</v>
      </c>
      <c r="B13" s="6" t="s">
        <v>97</v>
      </c>
      <c r="C13" s="7">
        <v>106639613.9</v>
      </c>
      <c r="D13" s="10">
        <v>0</v>
      </c>
      <c r="E13" s="10">
        <v>0</v>
      </c>
      <c r="F13" s="10">
        <v>0</v>
      </c>
      <c r="G13" s="10"/>
    </row>
    <row r="14" spans="1:7">
      <c r="A14" s="6" t="s">
        <v>98</v>
      </c>
      <c r="B14" s="6" t="s">
        <v>99</v>
      </c>
      <c r="C14" s="7">
        <v>290371156.22</v>
      </c>
      <c r="D14" s="10">
        <v>0</v>
      </c>
      <c r="E14" s="10">
        <v>1739513.68</v>
      </c>
      <c r="F14" s="10">
        <v>1739513.68</v>
      </c>
      <c r="G14" s="10"/>
    </row>
    <row r="15" spans="1:7">
      <c r="A15" s="6" t="s">
        <v>100</v>
      </c>
      <c r="B15" s="6" t="s">
        <v>101</v>
      </c>
      <c r="C15" s="7">
        <v>36719942.93</v>
      </c>
      <c r="D15" s="10">
        <v>0</v>
      </c>
      <c r="E15" s="10">
        <v>0</v>
      </c>
      <c r="F15" s="10">
        <v>0</v>
      </c>
      <c r="G15" s="10"/>
    </row>
    <row r="16" spans="1:7">
      <c r="A16" s="6" t="s">
        <v>102</v>
      </c>
      <c r="B16" s="6" t="s">
        <v>103</v>
      </c>
      <c r="C16" s="7">
        <v>19257511.58</v>
      </c>
      <c r="D16" s="10">
        <v>0</v>
      </c>
      <c r="E16" s="10">
        <v>0</v>
      </c>
      <c r="F16" s="10">
        <v>0</v>
      </c>
      <c r="G16" s="10"/>
    </row>
    <row r="17" spans="1:7">
      <c r="A17" s="6" t="s">
        <v>104</v>
      </c>
      <c r="B17" s="6" t="s">
        <v>105</v>
      </c>
      <c r="C17" s="7">
        <v>148746136.6</v>
      </c>
      <c r="D17" s="10">
        <v>4350435.09</v>
      </c>
      <c r="E17" s="10">
        <v>1603477.89</v>
      </c>
      <c r="F17" s="10">
        <v>5953912.98</v>
      </c>
      <c r="G17" s="10"/>
    </row>
    <row r="18" spans="1:7">
      <c r="A18" s="6" t="s">
        <v>106</v>
      </c>
      <c r="B18" s="6" t="s">
        <v>107</v>
      </c>
      <c r="C18" s="7">
        <v>24852042.87</v>
      </c>
      <c r="D18" s="10">
        <v>0</v>
      </c>
      <c r="E18" s="10">
        <v>0</v>
      </c>
      <c r="F18" s="10">
        <v>0</v>
      </c>
      <c r="G18" s="10"/>
    </row>
    <row r="19" spans="1:7">
      <c r="A19" s="6" t="s">
        <v>108</v>
      </c>
      <c r="B19" s="6" t="s">
        <v>109</v>
      </c>
      <c r="C19" s="7">
        <v>77221842.65000001</v>
      </c>
      <c r="D19" s="10">
        <v>0</v>
      </c>
      <c r="E19" s="10">
        <v>0</v>
      </c>
      <c r="F19" s="10">
        <v>0</v>
      </c>
      <c r="G19" s="10"/>
    </row>
    <row r="20" spans="1:7">
      <c r="A20" s="6" t="s">
        <v>110</v>
      </c>
      <c r="B20" s="6" t="s">
        <v>111</v>
      </c>
      <c r="C20" s="7">
        <v>17256741.2</v>
      </c>
      <c r="D20" s="10">
        <v>0</v>
      </c>
      <c r="E20" s="10">
        <v>0</v>
      </c>
      <c r="F20" s="10">
        <v>0</v>
      </c>
      <c r="G20" s="10"/>
    </row>
    <row r="21" spans="1:7">
      <c r="A21" s="6" t="s">
        <v>112</v>
      </c>
      <c r="B21" s="6" t="s">
        <v>113</v>
      </c>
      <c r="C21" s="7">
        <v>18275591.85</v>
      </c>
      <c r="D21" s="10">
        <v>0</v>
      </c>
      <c r="E21" s="10">
        <v>0</v>
      </c>
      <c r="F21" s="10">
        <v>0</v>
      </c>
      <c r="G21" s="10"/>
    </row>
    <row r="22" spans="1:7">
      <c r="A22" s="6" t="s">
        <v>114</v>
      </c>
      <c r="B22" s="6" t="s">
        <v>115</v>
      </c>
      <c r="C22" s="7">
        <v>16062627.03</v>
      </c>
      <c r="D22" s="10">
        <v>0</v>
      </c>
      <c r="E22" s="10">
        <v>0</v>
      </c>
      <c r="F22" s="10">
        <v>0</v>
      </c>
      <c r="G22" s="10"/>
    </row>
    <row r="23" spans="1:7">
      <c r="A23" s="6" t="s">
        <v>116</v>
      </c>
      <c r="B23" s="6" t="s">
        <v>117</v>
      </c>
      <c r="C23" s="7">
        <v>16055504.47</v>
      </c>
      <c r="D23" s="10">
        <v>0</v>
      </c>
      <c r="E23" s="10">
        <v>0</v>
      </c>
      <c r="F23" s="10">
        <v>0</v>
      </c>
      <c r="G23" s="10"/>
    </row>
    <row r="24" spans="1:7">
      <c r="A24" s="6" t="s">
        <v>118</v>
      </c>
      <c r="B24" s="6" t="s">
        <v>119</v>
      </c>
      <c r="C24" s="7">
        <v>16076872.15</v>
      </c>
      <c r="D24" s="10">
        <v>0</v>
      </c>
      <c r="E24" s="10">
        <v>0</v>
      </c>
      <c r="F24" s="10">
        <v>0</v>
      </c>
      <c r="G24" s="10"/>
    </row>
    <row r="25" spans="1:7">
      <c r="A25" s="6" t="s">
        <v>120</v>
      </c>
      <c r="B25" s="6" t="s">
        <v>121</v>
      </c>
      <c r="C25" s="7">
        <v>17256741.2</v>
      </c>
      <c r="D25" s="10">
        <v>0</v>
      </c>
      <c r="E25" s="10">
        <v>0</v>
      </c>
      <c r="F25" s="10">
        <v>0</v>
      </c>
      <c r="G25" s="10"/>
    </row>
    <row r="26" spans="1:7">
      <c r="A26" s="6" t="s">
        <v>122</v>
      </c>
      <c r="B26" s="6" t="s">
        <v>123</v>
      </c>
      <c r="C26" s="7">
        <v>17256741.2</v>
      </c>
      <c r="D26" s="10">
        <v>0</v>
      </c>
      <c r="E26" s="10">
        <v>0</v>
      </c>
      <c r="F26" s="10">
        <v>0</v>
      </c>
      <c r="G26" s="10"/>
    </row>
    <row r="27" spans="1:7">
      <c r="A27" s="6" t="s">
        <v>124</v>
      </c>
      <c r="B27" s="6" t="s">
        <v>125</v>
      </c>
      <c r="C27" s="7">
        <v>2376097.56</v>
      </c>
      <c r="D27" s="10">
        <v>0</v>
      </c>
      <c r="E27" s="10">
        <v>0</v>
      </c>
      <c r="F27" s="10">
        <v>0</v>
      </c>
      <c r="G27" s="10"/>
    </row>
    <row r="28" spans="1:7">
      <c r="B28" s="5" t="s">
        <v>126</v>
      </c>
      <c r="C28" s="5">
        <f>SUM(C2:C27)</f>
        <v>0</v>
      </c>
      <c r="D28" s="5">
        <f>SUM(D2:D27)</f>
        <v>0</v>
      </c>
      <c r="E28" s="5">
        <f>SUM(E2:E27)</f>
        <v>0</v>
      </c>
      <c r="F28" s="5">
        <f>SUM(F2:F27)</f>
        <v>0</v>
      </c>
    </row>
    <row r="30" spans="1:7">
      <c r="B30" s="4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2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7.7109375" customWidth="1"/>
    <col min="2" max="2" width="11.7109375" customWidth="1"/>
    <col min="3" max="3" width="60.7109375" customWidth="1"/>
    <col min="4" max="4" width="13.7109375" customWidth="1"/>
    <col min="5" max="12" width="15.7109375" customWidth="1"/>
  </cols>
  <sheetData>
    <row r="1" spans="1:12" ht="32" customHeight="1">
      <c r="A1" s="5" t="s">
        <v>128</v>
      </c>
      <c r="B1" s="5" t="s">
        <v>129</v>
      </c>
      <c r="C1" s="5" t="s">
        <v>68</v>
      </c>
      <c r="D1" s="5" t="s">
        <v>130</v>
      </c>
      <c r="E1" s="5" t="s">
        <v>131</v>
      </c>
      <c r="F1" s="5" t="s">
        <v>132</v>
      </c>
      <c r="G1" s="5" t="s">
        <v>69</v>
      </c>
      <c r="H1" s="5" t="s">
        <v>133</v>
      </c>
      <c r="I1" s="5" t="s">
        <v>134</v>
      </c>
      <c r="J1" s="5" t="s">
        <v>135</v>
      </c>
      <c r="K1" s="5" t="s">
        <v>71</v>
      </c>
      <c r="L1" s="5" t="s">
        <v>136</v>
      </c>
    </row>
    <row r="2" spans="1:12">
      <c r="A2" s="6" t="s">
        <v>137</v>
      </c>
      <c r="B2" s="6" t="s">
        <v>138</v>
      </c>
      <c r="C2" s="11" t="s">
        <v>139</v>
      </c>
      <c r="D2" s="6" t="s">
        <v>140</v>
      </c>
      <c r="E2" s="7">
        <v>542197.25</v>
      </c>
      <c r="F2" s="7">
        <v>2.3</v>
      </c>
      <c r="G2" s="7">
        <v>1247053.68</v>
      </c>
      <c r="H2" s="10">
        <v>2482.55</v>
      </c>
      <c r="I2" s="10">
        <v>0</v>
      </c>
      <c r="J2" s="7">
        <f>H2+I2</f>
        <v>2482.55</v>
      </c>
      <c r="K2" s="7">
        <f>I2*F2</f>
        <v>0.0</v>
      </c>
      <c r="L2" s="7">
        <f>J2*F2</f>
        <v>5709.865</v>
      </c>
    </row>
    <row r="3" spans="1:12">
      <c r="A3" s="6" t="s">
        <v>137</v>
      </c>
      <c r="B3" s="6" t="s">
        <v>141</v>
      </c>
      <c r="C3" s="11" t="s">
        <v>142</v>
      </c>
      <c r="D3" s="6" t="s">
        <v>130</v>
      </c>
      <c r="E3" s="7">
        <v>2726</v>
      </c>
      <c r="F3" s="7">
        <v>344.55</v>
      </c>
      <c r="G3" s="7">
        <v>939243.3</v>
      </c>
      <c r="H3" s="10">
        <v>1162</v>
      </c>
      <c r="I3" s="10">
        <v>0</v>
      </c>
      <c r="J3" s="7">
        <f>H3+I3</f>
        <v>1162.0</v>
      </c>
      <c r="K3" s="7">
        <f>I3*F3</f>
        <v>0.0</v>
      </c>
      <c r="L3" s="7">
        <f>J3*F3</f>
        <v>400367.10000000003</v>
      </c>
    </row>
    <row r="4" spans="1:12">
      <c r="A4" s="6" t="s">
        <v>137</v>
      </c>
      <c r="B4" s="6" t="s">
        <v>143</v>
      </c>
      <c r="C4" s="11" t="s">
        <v>144</v>
      </c>
      <c r="D4" s="6" t="s">
        <v>130</v>
      </c>
      <c r="E4" s="7">
        <v>28</v>
      </c>
      <c r="F4" s="7">
        <v>669.97</v>
      </c>
      <c r="G4" s="7">
        <v>18759.16</v>
      </c>
      <c r="H4" s="10">
        <v>4</v>
      </c>
      <c r="I4" s="10">
        <v>0</v>
      </c>
      <c r="J4" s="7">
        <f>H4+I4</f>
        <v>4.0</v>
      </c>
      <c r="K4" s="7">
        <f>I4*F4</f>
        <v>0.0</v>
      </c>
      <c r="L4" s="7">
        <f>J4*F4</f>
        <v>2679.88</v>
      </c>
    </row>
    <row r="5" spans="1:12">
      <c r="A5" s="6" t="s">
        <v>137</v>
      </c>
      <c r="B5" s="6" t="s">
        <v>145</v>
      </c>
      <c r="C5" s="11" t="s">
        <v>146</v>
      </c>
      <c r="D5" s="6" t="s">
        <v>130</v>
      </c>
      <c r="E5" s="7">
        <v>821</v>
      </c>
      <c r="F5" s="7">
        <v>143.57</v>
      </c>
      <c r="G5" s="7">
        <v>117870.97</v>
      </c>
      <c r="H5" s="10">
        <v>242</v>
      </c>
      <c r="I5" s="10">
        <v>0</v>
      </c>
      <c r="J5" s="7">
        <f>H5+I5</f>
        <v>242.0</v>
      </c>
      <c r="K5" s="7">
        <f>I5*F5</f>
        <v>0.0</v>
      </c>
      <c r="L5" s="7">
        <f>J5*F5</f>
        <v>34743.939999999995</v>
      </c>
    </row>
    <row r="6" spans="1:12">
      <c r="A6" s="6" t="s">
        <v>137</v>
      </c>
      <c r="B6" s="6" t="s">
        <v>147</v>
      </c>
      <c r="C6" s="11" t="s">
        <v>148</v>
      </c>
      <c r="D6" s="6" t="s">
        <v>130</v>
      </c>
      <c r="E6" s="7">
        <v>49</v>
      </c>
      <c r="F6" s="7">
        <v>191.42</v>
      </c>
      <c r="G6" s="7">
        <v>9379.58</v>
      </c>
      <c r="H6" s="10">
        <v>0</v>
      </c>
      <c r="I6" s="10">
        <v>0</v>
      </c>
      <c r="J6" s="7">
        <f>H6+I6</f>
        <v>0.0</v>
      </c>
      <c r="K6" s="7">
        <f>I6*F6</f>
        <v>0.0</v>
      </c>
      <c r="L6" s="7">
        <f>J6*F6</f>
        <v>0.0</v>
      </c>
    </row>
    <row r="7" spans="1:12">
      <c r="A7" s="6" t="s">
        <v>137</v>
      </c>
      <c r="B7" s="6" t="s">
        <v>149</v>
      </c>
      <c r="C7" s="11" t="s">
        <v>150</v>
      </c>
      <c r="D7" s="6" t="s">
        <v>130</v>
      </c>
      <c r="E7" s="7">
        <v>14</v>
      </c>
      <c r="F7" s="7">
        <v>239.28</v>
      </c>
      <c r="G7" s="7">
        <v>3349.92</v>
      </c>
      <c r="H7" s="10">
        <v>0</v>
      </c>
      <c r="I7" s="10">
        <v>0</v>
      </c>
      <c r="J7" s="7">
        <f>H7+I7</f>
        <v>0.0</v>
      </c>
      <c r="K7" s="7">
        <f>I7*F7</f>
        <v>0.0</v>
      </c>
      <c r="L7" s="7">
        <f>J7*F7</f>
        <v>0.0</v>
      </c>
    </row>
    <row r="8" spans="1:12">
      <c r="A8" s="6" t="s">
        <v>137</v>
      </c>
      <c r="B8" s="6" t="s">
        <v>151</v>
      </c>
      <c r="C8" s="11" t="s">
        <v>152</v>
      </c>
      <c r="D8" s="6" t="s">
        <v>153</v>
      </c>
      <c r="E8" s="7">
        <v>55</v>
      </c>
      <c r="F8" s="7">
        <v>1148.51</v>
      </c>
      <c r="G8" s="7">
        <v>63168.05</v>
      </c>
      <c r="H8" s="10">
        <v>4.58</v>
      </c>
      <c r="I8" s="10">
        <v>0</v>
      </c>
      <c r="J8" s="7">
        <f>H8+I8</f>
        <v>4.58</v>
      </c>
      <c r="K8" s="7">
        <f>I8*F8</f>
        <v>0.0</v>
      </c>
      <c r="L8" s="7">
        <f>J8*F8</f>
        <v>5260.1758</v>
      </c>
    </row>
    <row r="9" spans="1:12">
      <c r="A9" s="6" t="s">
        <v>137</v>
      </c>
      <c r="B9" s="6" t="s">
        <v>154</v>
      </c>
      <c r="C9" s="11" t="s">
        <v>155</v>
      </c>
      <c r="D9" s="6" t="s">
        <v>130</v>
      </c>
      <c r="E9" s="7">
        <v>1135</v>
      </c>
      <c r="F9" s="7">
        <v>669.97</v>
      </c>
      <c r="G9" s="7">
        <v>760415.95</v>
      </c>
      <c r="H9" s="10">
        <v>0</v>
      </c>
      <c r="I9" s="10">
        <v>0</v>
      </c>
      <c r="J9" s="7">
        <f>H9+I9</f>
        <v>0.0</v>
      </c>
      <c r="K9" s="7">
        <f>I9*F9</f>
        <v>0.0</v>
      </c>
      <c r="L9" s="7">
        <f>J9*F9</f>
        <v>0.0</v>
      </c>
    </row>
    <row r="10" spans="1:12">
      <c r="A10" s="6" t="s">
        <v>137</v>
      </c>
      <c r="B10" s="6" t="s">
        <v>156</v>
      </c>
      <c r="C10" s="11" t="s">
        <v>157</v>
      </c>
      <c r="D10" s="6" t="s">
        <v>158</v>
      </c>
      <c r="E10" s="7">
        <v>520</v>
      </c>
      <c r="F10" s="7">
        <v>143.57</v>
      </c>
      <c r="G10" s="7">
        <v>74656.39999999999</v>
      </c>
      <c r="H10" s="10">
        <v>0</v>
      </c>
      <c r="I10" s="10">
        <v>0</v>
      </c>
      <c r="J10" s="7">
        <f>H10+I10</f>
        <v>0.0</v>
      </c>
      <c r="K10" s="7">
        <f>I10*F10</f>
        <v>0.0</v>
      </c>
      <c r="L10" s="7">
        <f>J10*F10</f>
        <v>0.0</v>
      </c>
    </row>
    <row r="11" spans="1:12">
      <c r="A11" s="6" t="s">
        <v>137</v>
      </c>
      <c r="B11" s="6" t="s">
        <v>159</v>
      </c>
      <c r="C11" s="11" t="s">
        <v>160</v>
      </c>
      <c r="D11" s="6" t="s">
        <v>158</v>
      </c>
      <c r="E11" s="7">
        <v>540</v>
      </c>
      <c r="F11" s="7">
        <v>114.85</v>
      </c>
      <c r="G11" s="7">
        <v>62019</v>
      </c>
      <c r="H11" s="10">
        <v>0</v>
      </c>
      <c r="I11" s="10">
        <v>0</v>
      </c>
      <c r="J11" s="7">
        <f>H11+I11</f>
        <v>0.0</v>
      </c>
      <c r="K11" s="7">
        <f>I11*F11</f>
        <v>0.0</v>
      </c>
      <c r="L11" s="7">
        <f>J11*F11</f>
        <v>0.0</v>
      </c>
    </row>
    <row r="12" spans="1:12">
      <c r="A12" s="6" t="s">
        <v>137</v>
      </c>
      <c r="B12" s="6" t="s">
        <v>161</v>
      </c>
      <c r="C12" s="11" t="s">
        <v>162</v>
      </c>
      <c r="D12" s="6" t="s">
        <v>130</v>
      </c>
      <c r="E12" s="7">
        <v>701</v>
      </c>
      <c r="F12" s="7">
        <v>516.83</v>
      </c>
      <c r="G12" s="7">
        <v>362297.83</v>
      </c>
      <c r="H12" s="10">
        <v>73</v>
      </c>
      <c r="I12" s="10">
        <v>0</v>
      </c>
      <c r="J12" s="7">
        <f>H12+I12</f>
        <v>73.0</v>
      </c>
      <c r="K12" s="7">
        <f>I12*F12</f>
        <v>0.0</v>
      </c>
      <c r="L12" s="7">
        <f>J12*F12</f>
        <v>37728.590000000004</v>
      </c>
    </row>
    <row r="13" spans="1:12">
      <c r="A13" s="6" t="s">
        <v>137</v>
      </c>
      <c r="B13" s="6" t="s">
        <v>163</v>
      </c>
      <c r="C13" s="11" t="s">
        <v>164</v>
      </c>
      <c r="D13" s="6" t="s">
        <v>165</v>
      </c>
      <c r="E13" s="7">
        <v>150</v>
      </c>
      <c r="F13" s="7">
        <v>1339.93</v>
      </c>
      <c r="G13" s="7">
        <v>200989.5</v>
      </c>
      <c r="H13" s="10">
        <v>86.90000000000001</v>
      </c>
      <c r="I13" s="10">
        <v>0</v>
      </c>
      <c r="J13" s="7">
        <f>H13+I13</f>
        <v>86.9</v>
      </c>
      <c r="K13" s="7">
        <f>I13*F13</f>
        <v>0.0</v>
      </c>
      <c r="L13" s="7">
        <f>J13*F13</f>
        <v>116439.91700000002</v>
      </c>
    </row>
    <row r="14" spans="1:12">
      <c r="A14" s="6" t="s">
        <v>137</v>
      </c>
      <c r="B14" s="6" t="s">
        <v>166</v>
      </c>
      <c r="C14" s="11" t="s">
        <v>167</v>
      </c>
      <c r="D14" s="6" t="s">
        <v>168</v>
      </c>
      <c r="E14" s="7">
        <v>1162.79</v>
      </c>
      <c r="F14" s="7">
        <v>133.99</v>
      </c>
      <c r="G14" s="7">
        <v>155801.56</v>
      </c>
      <c r="H14" s="10">
        <v>123.53</v>
      </c>
      <c r="I14" s="10">
        <v>0</v>
      </c>
      <c r="J14" s="7">
        <f>H14+I14</f>
        <v>123.53</v>
      </c>
      <c r="K14" s="7">
        <f>I14*F14</f>
        <v>0.0</v>
      </c>
      <c r="L14" s="7">
        <f>J14*F14</f>
        <v>16551.7847</v>
      </c>
    </row>
    <row r="15" spans="1:12">
      <c r="A15" s="6" t="s">
        <v>137</v>
      </c>
      <c r="B15" s="6" t="s">
        <v>169</v>
      </c>
      <c r="C15" s="11" t="s">
        <v>170</v>
      </c>
      <c r="D15" s="6" t="s">
        <v>130</v>
      </c>
      <c r="E15" s="7">
        <v>6</v>
      </c>
      <c r="F15" s="7">
        <v>3445.54</v>
      </c>
      <c r="G15" s="7">
        <v>20673.24</v>
      </c>
      <c r="H15" s="10">
        <v>0</v>
      </c>
      <c r="I15" s="10">
        <v>0</v>
      </c>
      <c r="J15" s="7">
        <f>H15+I15</f>
        <v>0.0</v>
      </c>
      <c r="K15" s="7">
        <f>I15*F15</f>
        <v>0.0</v>
      </c>
      <c r="L15" s="7">
        <f>J15*F15</f>
        <v>0.0</v>
      </c>
    </row>
    <row r="16" spans="1:12">
      <c r="A16" s="6" t="s">
        <v>137</v>
      </c>
      <c r="B16" s="6" t="s">
        <v>171</v>
      </c>
      <c r="C16" s="11" t="s">
        <v>172</v>
      </c>
      <c r="D16" s="6" t="s">
        <v>158</v>
      </c>
      <c r="E16" s="7">
        <v>3000</v>
      </c>
      <c r="F16" s="7">
        <v>47.86</v>
      </c>
      <c r="G16" s="7">
        <v>143580</v>
      </c>
      <c r="H16" s="10">
        <v>0</v>
      </c>
      <c r="I16" s="10">
        <v>0</v>
      </c>
      <c r="J16" s="7">
        <f>H16+I16</f>
        <v>0.0</v>
      </c>
      <c r="K16" s="7">
        <f>I16*F16</f>
        <v>0.0</v>
      </c>
      <c r="L16" s="7">
        <f>J16*F16</f>
        <v>0.0</v>
      </c>
    </row>
    <row r="17" spans="1:12">
      <c r="A17" s="6" t="s">
        <v>137</v>
      </c>
      <c r="B17" s="6" t="s">
        <v>173</v>
      </c>
      <c r="C17" s="11" t="s">
        <v>174</v>
      </c>
      <c r="D17" s="6" t="s">
        <v>130</v>
      </c>
      <c r="E17" s="7">
        <v>3456</v>
      </c>
      <c r="F17" s="7">
        <v>57.43</v>
      </c>
      <c r="G17" s="7">
        <v>198478.08</v>
      </c>
      <c r="H17" s="10">
        <v>637</v>
      </c>
      <c r="I17" s="10">
        <v>90</v>
      </c>
      <c r="J17" s="7">
        <f>H17+I17</f>
        <v>727.0</v>
      </c>
      <c r="K17" s="7">
        <f>I17*F17</f>
        <v>5168.7</v>
      </c>
      <c r="L17" s="7">
        <f>J17*F17</f>
        <v>41751.61</v>
      </c>
    </row>
    <row r="18" spans="1:12">
      <c r="A18" s="6" t="s">
        <v>137</v>
      </c>
      <c r="B18" s="6" t="s">
        <v>175</v>
      </c>
      <c r="C18" s="11" t="s">
        <v>176</v>
      </c>
      <c r="D18" s="6" t="s">
        <v>140</v>
      </c>
      <c r="E18" s="7">
        <v>1521</v>
      </c>
      <c r="F18" s="7">
        <v>401.98</v>
      </c>
      <c r="G18" s="7">
        <v>611411.58</v>
      </c>
      <c r="H18" s="10">
        <v>0</v>
      </c>
      <c r="I18" s="10">
        <v>0</v>
      </c>
      <c r="J18" s="7">
        <f>H18+I18</f>
        <v>0.0</v>
      </c>
      <c r="K18" s="7">
        <f>I18*F18</f>
        <v>0.0</v>
      </c>
      <c r="L18" s="7">
        <f>J18*F18</f>
        <v>0.0</v>
      </c>
    </row>
    <row r="19" spans="1:12">
      <c r="A19" s="6" t="s">
        <v>137</v>
      </c>
      <c r="B19" s="6" t="s">
        <v>177</v>
      </c>
      <c r="C19" s="11" t="s">
        <v>178</v>
      </c>
      <c r="D19" s="6" t="s">
        <v>179</v>
      </c>
      <c r="E19" s="7">
        <v>110000</v>
      </c>
      <c r="F19" s="7">
        <v>4.59</v>
      </c>
      <c r="G19" s="7">
        <v>504900</v>
      </c>
      <c r="H19" s="10">
        <v>57000.2</v>
      </c>
      <c r="I19" s="10">
        <v>0</v>
      </c>
      <c r="J19" s="7">
        <f>H19+I19</f>
        <v>57000.2</v>
      </c>
      <c r="K19" s="7">
        <f>I19*F19</f>
        <v>0.0</v>
      </c>
      <c r="L19" s="7">
        <f>J19*F19</f>
        <v>261630.91799999998</v>
      </c>
    </row>
    <row r="20" spans="1:12">
      <c r="A20" s="6" t="s">
        <v>137</v>
      </c>
      <c r="B20" s="6" t="s">
        <v>180</v>
      </c>
      <c r="C20" s="11" t="s">
        <v>181</v>
      </c>
      <c r="D20" s="6" t="s">
        <v>140</v>
      </c>
      <c r="E20" s="7">
        <v>182000</v>
      </c>
      <c r="F20" s="7">
        <v>5.75</v>
      </c>
      <c r="G20" s="7">
        <v>1046500</v>
      </c>
      <c r="H20" s="10">
        <v>137970.83</v>
      </c>
      <c r="I20" s="10">
        <v>0</v>
      </c>
      <c r="J20" s="7">
        <f>H20+I20</f>
        <v>137970.83</v>
      </c>
      <c r="K20" s="7">
        <f>I20*F20</f>
        <v>0.0</v>
      </c>
      <c r="L20" s="7">
        <f>J20*F20</f>
        <v>793332.2725</v>
      </c>
    </row>
    <row r="21" spans="1:12">
      <c r="A21" s="6" t="s">
        <v>137</v>
      </c>
      <c r="B21" s="6" t="s">
        <v>182</v>
      </c>
      <c r="C21" s="11" t="s">
        <v>183</v>
      </c>
      <c r="D21" s="6" t="s">
        <v>140</v>
      </c>
      <c r="E21" s="7">
        <v>646840</v>
      </c>
      <c r="F21" s="7">
        <v>11.49</v>
      </c>
      <c r="G21" s="7">
        <v>7432191.6</v>
      </c>
      <c r="H21" s="10">
        <v>116402.25</v>
      </c>
      <c r="I21" s="10">
        <v>18268.41</v>
      </c>
      <c r="J21" s="7">
        <f>H21+I21</f>
        <v>134670.66</v>
      </c>
      <c r="K21" s="7">
        <f>I21*F21</f>
        <v>209904.0309</v>
      </c>
      <c r="L21" s="7">
        <f>J21*F21</f>
        <v>1547365.8834000002</v>
      </c>
    </row>
    <row r="22" spans="1:12">
      <c r="A22" s="6" t="s">
        <v>137</v>
      </c>
      <c r="B22" s="6" t="s">
        <v>184</v>
      </c>
      <c r="C22" s="11" t="s">
        <v>185</v>
      </c>
      <c r="D22" s="6" t="s">
        <v>130</v>
      </c>
      <c r="E22" s="7">
        <v>1840</v>
      </c>
      <c r="F22" s="7">
        <v>95.70999999999999</v>
      </c>
      <c r="G22" s="7">
        <v>176106.4</v>
      </c>
      <c r="H22" s="10">
        <v>371</v>
      </c>
      <c r="I22" s="10">
        <v>0</v>
      </c>
      <c r="J22" s="7">
        <f>H22+I22</f>
        <v>371.0</v>
      </c>
      <c r="K22" s="7">
        <f>I22*F22</f>
        <v>0.0</v>
      </c>
      <c r="L22" s="7">
        <f>J22*F22</f>
        <v>35508.409999999996</v>
      </c>
    </row>
    <row r="23" spans="1:12">
      <c r="A23" s="6" t="s">
        <v>137</v>
      </c>
      <c r="B23" s="6" t="s">
        <v>186</v>
      </c>
      <c r="C23" s="11" t="s">
        <v>187</v>
      </c>
      <c r="D23" s="6" t="s">
        <v>130</v>
      </c>
      <c r="E23" s="7">
        <v>6</v>
      </c>
      <c r="F23" s="7">
        <v>669.97</v>
      </c>
      <c r="G23" s="7">
        <v>4019.82</v>
      </c>
      <c r="H23" s="10">
        <v>3</v>
      </c>
      <c r="I23" s="10">
        <v>0</v>
      </c>
      <c r="J23" s="7">
        <f>H23+I23</f>
        <v>3.0</v>
      </c>
      <c r="K23" s="7">
        <f>I23*F23</f>
        <v>0.0</v>
      </c>
      <c r="L23" s="7">
        <f>J23*F23</f>
        <v>2009.91</v>
      </c>
    </row>
    <row r="24" spans="1:12">
      <c r="A24" s="6" t="s">
        <v>137</v>
      </c>
      <c r="B24" s="6" t="s">
        <v>188</v>
      </c>
      <c r="C24" s="11" t="s">
        <v>189</v>
      </c>
      <c r="D24" s="6" t="s">
        <v>190</v>
      </c>
      <c r="E24" s="7">
        <v>184183.3</v>
      </c>
      <c r="F24" s="7">
        <v>56.71</v>
      </c>
      <c r="G24" s="7">
        <v>10445034.94</v>
      </c>
      <c r="H24" s="10">
        <v>0</v>
      </c>
      <c r="I24" s="10">
        <v>0</v>
      </c>
      <c r="J24" s="7">
        <f>H24+I24</f>
        <v>0.0</v>
      </c>
      <c r="K24" s="7">
        <f>I24*F24</f>
        <v>0.0</v>
      </c>
      <c r="L24" s="7">
        <f>J24*F24</f>
        <v>0.0</v>
      </c>
    </row>
    <row r="25" spans="1:12">
      <c r="A25" s="6" t="s">
        <v>137</v>
      </c>
      <c r="B25" s="6" t="s">
        <v>191</v>
      </c>
      <c r="C25" s="11" t="s">
        <v>192</v>
      </c>
      <c r="D25" s="6" t="s">
        <v>190</v>
      </c>
      <c r="E25" s="7">
        <v>44989.15</v>
      </c>
      <c r="F25" s="7">
        <v>69.23</v>
      </c>
      <c r="G25" s="7">
        <v>3114598.89</v>
      </c>
      <c r="H25" s="10">
        <v>0</v>
      </c>
      <c r="I25" s="10">
        <v>0</v>
      </c>
      <c r="J25" s="7">
        <f>H25+I25</f>
        <v>0.0</v>
      </c>
      <c r="K25" s="7">
        <f>I25*F25</f>
        <v>0.0</v>
      </c>
      <c r="L25" s="7">
        <f>J25*F25</f>
        <v>0.0</v>
      </c>
    </row>
    <row r="26" spans="1:12">
      <c r="A26" s="6" t="s">
        <v>137</v>
      </c>
      <c r="B26" s="6" t="s">
        <v>193</v>
      </c>
      <c r="C26" s="11" t="s">
        <v>194</v>
      </c>
      <c r="D26" s="6" t="s">
        <v>190</v>
      </c>
      <c r="E26" s="7">
        <v>147346.64</v>
      </c>
      <c r="F26" s="7">
        <v>62.61</v>
      </c>
      <c r="G26" s="7">
        <v>9225373.130000001</v>
      </c>
      <c r="H26" s="10">
        <v>0</v>
      </c>
      <c r="I26" s="10">
        <v>0</v>
      </c>
      <c r="J26" s="7">
        <f>H26+I26</f>
        <v>0.0</v>
      </c>
      <c r="K26" s="7">
        <f>I26*F26</f>
        <v>0.0</v>
      </c>
      <c r="L26" s="7">
        <f>J26*F26</f>
        <v>0.0</v>
      </c>
    </row>
    <row r="27" spans="1:12">
      <c r="A27" s="6" t="s">
        <v>137</v>
      </c>
      <c r="B27" s="6" t="s">
        <v>195</v>
      </c>
      <c r="C27" s="11" t="s">
        <v>196</v>
      </c>
      <c r="D27" s="6" t="s">
        <v>190</v>
      </c>
      <c r="E27" s="7">
        <v>35921.93</v>
      </c>
      <c r="F27" s="7">
        <v>112.59</v>
      </c>
      <c r="G27" s="7">
        <v>4044450.01</v>
      </c>
      <c r="H27" s="10">
        <v>0</v>
      </c>
      <c r="I27" s="10">
        <v>0</v>
      </c>
      <c r="J27" s="7">
        <f>H27+I27</f>
        <v>0.0</v>
      </c>
      <c r="K27" s="7">
        <f>I27*F27</f>
        <v>0.0</v>
      </c>
      <c r="L27" s="7">
        <f>J27*F27</f>
        <v>0.0</v>
      </c>
    </row>
    <row r="28" spans="1:12">
      <c r="A28" s="6" t="s">
        <v>137</v>
      </c>
      <c r="B28" s="6" t="s">
        <v>197</v>
      </c>
      <c r="C28" s="11" t="s">
        <v>198</v>
      </c>
      <c r="D28" s="6" t="s">
        <v>190</v>
      </c>
      <c r="E28" s="7">
        <v>85640.31</v>
      </c>
      <c r="F28" s="7">
        <v>124.43</v>
      </c>
      <c r="G28" s="7">
        <v>10656223.62</v>
      </c>
      <c r="H28" s="10">
        <v>0</v>
      </c>
      <c r="I28" s="10">
        <v>0</v>
      </c>
      <c r="J28" s="7">
        <f>H28+I28</f>
        <v>0.0</v>
      </c>
      <c r="K28" s="7">
        <f>I28*F28</f>
        <v>0.0</v>
      </c>
      <c r="L28" s="7">
        <f>J28*F28</f>
        <v>0.0</v>
      </c>
    </row>
    <row r="29" spans="1:12">
      <c r="A29" s="6" t="s">
        <v>137</v>
      </c>
      <c r="B29" s="6" t="s">
        <v>199</v>
      </c>
      <c r="C29" s="11" t="s">
        <v>200</v>
      </c>
      <c r="D29" s="6" t="s">
        <v>140</v>
      </c>
      <c r="E29" s="7">
        <v>468483.09</v>
      </c>
      <c r="F29" s="7">
        <v>23.43</v>
      </c>
      <c r="G29" s="7">
        <v>10976558.76</v>
      </c>
      <c r="H29" s="10">
        <v>0</v>
      </c>
      <c r="I29" s="10">
        <v>0</v>
      </c>
      <c r="J29" s="7">
        <f>H29+I29</f>
        <v>0.0</v>
      </c>
      <c r="K29" s="7">
        <f>I29*F29</f>
        <v>0.0</v>
      </c>
      <c r="L29" s="7">
        <f>J29*F29</f>
        <v>0.0</v>
      </c>
    </row>
    <row r="30" spans="1:12">
      <c r="A30" s="6" t="s">
        <v>137</v>
      </c>
      <c r="B30" s="6" t="s">
        <v>201</v>
      </c>
      <c r="C30" s="11" t="s">
        <v>202</v>
      </c>
      <c r="D30" s="6" t="s">
        <v>140</v>
      </c>
      <c r="E30" s="7">
        <v>646840</v>
      </c>
      <c r="F30" s="7">
        <v>19.78</v>
      </c>
      <c r="G30" s="7">
        <v>12794495.2</v>
      </c>
      <c r="H30" s="10">
        <v>0</v>
      </c>
      <c r="I30" s="10">
        <v>0</v>
      </c>
      <c r="J30" s="7">
        <f>H30+I30</f>
        <v>0.0</v>
      </c>
      <c r="K30" s="7">
        <f>I30*F30</f>
        <v>0.0</v>
      </c>
      <c r="L30" s="7">
        <f>J30*F30</f>
        <v>0.0</v>
      </c>
    </row>
    <row r="31" spans="1:12">
      <c r="A31" s="6" t="s">
        <v>137</v>
      </c>
      <c r="B31" s="6" t="s">
        <v>203</v>
      </c>
      <c r="C31" s="11" t="s">
        <v>204</v>
      </c>
      <c r="D31" s="6" t="s">
        <v>190</v>
      </c>
      <c r="E31" s="7">
        <v>10000</v>
      </c>
      <c r="F31" s="7">
        <v>398.86</v>
      </c>
      <c r="G31" s="7">
        <v>3988600</v>
      </c>
      <c r="H31" s="10">
        <v>0</v>
      </c>
      <c r="I31" s="10">
        <v>0</v>
      </c>
      <c r="J31" s="7">
        <f>H31+I31</f>
        <v>0.0</v>
      </c>
      <c r="K31" s="7">
        <f>I31*F31</f>
        <v>0.0</v>
      </c>
      <c r="L31" s="7">
        <f>J31*F31</f>
        <v>0.0</v>
      </c>
    </row>
    <row r="32" spans="1:12">
      <c r="A32" s="6" t="s">
        <v>137</v>
      </c>
      <c r="B32" s="6" t="s">
        <v>205</v>
      </c>
      <c r="C32" s="11" t="s">
        <v>206</v>
      </c>
      <c r="D32" s="6" t="s">
        <v>190</v>
      </c>
      <c r="E32" s="7">
        <v>3000</v>
      </c>
      <c r="F32" s="7">
        <v>498.58</v>
      </c>
      <c r="G32" s="7">
        <v>1495740</v>
      </c>
      <c r="H32" s="10">
        <v>0</v>
      </c>
      <c r="I32" s="10">
        <v>0</v>
      </c>
      <c r="J32" s="7">
        <f>H32+I32</f>
        <v>0.0</v>
      </c>
      <c r="K32" s="7">
        <f>I32*F32</f>
        <v>0.0</v>
      </c>
      <c r="L32" s="7">
        <f>J32*F32</f>
        <v>0.0</v>
      </c>
    </row>
    <row r="33" spans="1:12">
      <c r="A33" s="6" t="s">
        <v>137</v>
      </c>
      <c r="B33" s="6" t="s">
        <v>207</v>
      </c>
      <c r="C33" s="11" t="s">
        <v>208</v>
      </c>
      <c r="D33" s="6" t="s">
        <v>179</v>
      </c>
      <c r="E33" s="7">
        <v>7000</v>
      </c>
      <c r="F33" s="7">
        <v>119.66</v>
      </c>
      <c r="G33" s="7">
        <v>837620</v>
      </c>
      <c r="H33" s="10">
        <v>0</v>
      </c>
      <c r="I33" s="10">
        <v>0</v>
      </c>
      <c r="J33" s="7">
        <f>H33+I33</f>
        <v>0.0</v>
      </c>
      <c r="K33" s="7">
        <f>I33*F33</f>
        <v>0.0</v>
      </c>
      <c r="L33" s="7">
        <f>J33*F33</f>
        <v>0.0</v>
      </c>
    </row>
    <row r="34" spans="1:12">
      <c r="A34" s="6" t="s">
        <v>137</v>
      </c>
      <c r="B34" s="6" t="s">
        <v>209</v>
      </c>
      <c r="C34" s="11" t="s">
        <v>210</v>
      </c>
      <c r="D34" s="6" t="s">
        <v>179</v>
      </c>
      <c r="E34" s="7">
        <v>240</v>
      </c>
      <c r="F34" s="7">
        <v>37892.02</v>
      </c>
      <c r="G34" s="7">
        <v>9094084.800000001</v>
      </c>
      <c r="H34" s="10">
        <v>0</v>
      </c>
      <c r="I34" s="10">
        <v>0</v>
      </c>
      <c r="J34" s="7">
        <f>H34+I34</f>
        <v>0.0</v>
      </c>
      <c r="K34" s="7">
        <f>I34*F34</f>
        <v>0.0</v>
      </c>
      <c r="L34" s="7">
        <f>J34*F34</f>
        <v>0.0</v>
      </c>
    </row>
    <row r="35" spans="1:12">
      <c r="A35" s="6" t="s">
        <v>211</v>
      </c>
      <c r="B35" s="6" t="s">
        <v>212</v>
      </c>
      <c r="C35" s="11" t="s">
        <v>213</v>
      </c>
      <c r="D35" s="6" t="s">
        <v>190</v>
      </c>
      <c r="E35" s="7">
        <v>9800</v>
      </c>
      <c r="F35" s="7">
        <v>107.64</v>
      </c>
      <c r="G35" s="7">
        <v>1054872</v>
      </c>
      <c r="H35" s="10">
        <v>3364.83</v>
      </c>
      <c r="I35" s="10">
        <v>1700.6</v>
      </c>
      <c r="J35" s="7">
        <f>H35+I35</f>
        <v>5065.43</v>
      </c>
      <c r="K35" s="7">
        <f>I35*F35</f>
        <v>183052.584</v>
      </c>
      <c r="L35" s="7">
        <f>J35*F35</f>
        <v>545242.8852</v>
      </c>
    </row>
    <row r="36" spans="1:12">
      <c r="A36" s="6" t="s">
        <v>211</v>
      </c>
      <c r="B36" s="6" t="s">
        <v>214</v>
      </c>
      <c r="C36" s="11" t="s">
        <v>215</v>
      </c>
      <c r="D36" s="6" t="s">
        <v>190</v>
      </c>
      <c r="E36" s="7">
        <v>7000</v>
      </c>
      <c r="F36" s="7">
        <v>1273.98</v>
      </c>
      <c r="G36" s="7">
        <v>8917860</v>
      </c>
      <c r="H36" s="10">
        <v>2878.48</v>
      </c>
      <c r="I36" s="10">
        <v>798.12</v>
      </c>
      <c r="J36" s="7">
        <f>H36+I36</f>
        <v>3676.6</v>
      </c>
      <c r="K36" s="7">
        <f>I36*F36</f>
        <v>1016788.9176</v>
      </c>
      <c r="L36" s="7">
        <f>J36*F36</f>
        <v>4683914.868</v>
      </c>
    </row>
    <row r="37" spans="1:12">
      <c r="A37" s="6" t="s">
        <v>211</v>
      </c>
      <c r="B37" s="6" t="s">
        <v>216</v>
      </c>
      <c r="C37" s="11" t="s">
        <v>217</v>
      </c>
      <c r="D37" s="6" t="s">
        <v>190</v>
      </c>
      <c r="E37" s="7">
        <v>720</v>
      </c>
      <c r="F37" s="7">
        <v>2323.33</v>
      </c>
      <c r="G37" s="7">
        <v>1672797.6</v>
      </c>
      <c r="H37" s="10">
        <v>386</v>
      </c>
      <c r="I37" s="10">
        <v>317.92</v>
      </c>
      <c r="J37" s="7">
        <f>H37+I37</f>
        <v>703.9200000000001</v>
      </c>
      <c r="K37" s="7">
        <f>I37*F37</f>
        <v>738633.0736</v>
      </c>
      <c r="L37" s="7">
        <f>J37*F37</f>
        <v>1635438.4536000001</v>
      </c>
    </row>
    <row r="38" spans="1:12">
      <c r="A38" s="6" t="s">
        <v>211</v>
      </c>
      <c r="B38" s="6" t="s">
        <v>218</v>
      </c>
      <c r="C38" s="11" t="s">
        <v>219</v>
      </c>
      <c r="D38" s="6" t="s">
        <v>140</v>
      </c>
      <c r="E38" s="7">
        <v>3300</v>
      </c>
      <c r="F38" s="7">
        <v>95.53</v>
      </c>
      <c r="G38" s="7">
        <v>315249</v>
      </c>
      <c r="H38" s="10">
        <v>1517.51</v>
      </c>
      <c r="I38" s="10">
        <v>228.3</v>
      </c>
      <c r="J38" s="7">
        <f>H38+I38</f>
        <v>1745.81</v>
      </c>
      <c r="K38" s="7">
        <f>I38*F38</f>
        <v>21809.499</v>
      </c>
      <c r="L38" s="7">
        <f>J38*F38</f>
        <v>166777.2293</v>
      </c>
    </row>
    <row r="39" spans="1:12">
      <c r="A39" s="6" t="s">
        <v>211</v>
      </c>
      <c r="B39" s="6" t="s">
        <v>220</v>
      </c>
      <c r="C39" s="11" t="s">
        <v>221</v>
      </c>
      <c r="D39" s="6" t="s">
        <v>130</v>
      </c>
      <c r="E39" s="7">
        <v>18</v>
      </c>
      <c r="F39" s="7">
        <v>69676.45</v>
      </c>
      <c r="G39" s="7">
        <v>1254176.1</v>
      </c>
      <c r="H39" s="10">
        <v>0</v>
      </c>
      <c r="I39" s="10">
        <v>3.7</v>
      </c>
      <c r="J39" s="7">
        <f>H39+I39</f>
        <v>3.7</v>
      </c>
      <c r="K39" s="7">
        <f>I39*F39</f>
        <v>257802.865</v>
      </c>
      <c r="L39" s="7">
        <f>J39*F39</f>
        <v>257802.865</v>
      </c>
    </row>
    <row r="40" spans="1:12">
      <c r="A40" s="6" t="s">
        <v>211</v>
      </c>
      <c r="B40" s="6" t="s">
        <v>222</v>
      </c>
      <c r="C40" s="11" t="s">
        <v>223</v>
      </c>
      <c r="D40" s="6" t="s">
        <v>130</v>
      </c>
      <c r="E40" s="7">
        <v>18</v>
      </c>
      <c r="F40" s="7">
        <v>82235.34</v>
      </c>
      <c r="G40" s="7">
        <v>1480236.12</v>
      </c>
      <c r="H40" s="10">
        <v>0</v>
      </c>
      <c r="I40" s="10">
        <v>3.7</v>
      </c>
      <c r="J40" s="7">
        <f>H40+I40</f>
        <v>3.7</v>
      </c>
      <c r="K40" s="7">
        <f>I40*F40</f>
        <v>304270.75800000003</v>
      </c>
      <c r="L40" s="7">
        <f>J40*F40</f>
        <v>304270.75800000003</v>
      </c>
    </row>
    <row r="41" spans="1:12">
      <c r="A41" s="6" t="s">
        <v>211</v>
      </c>
      <c r="B41" s="6" t="s">
        <v>224</v>
      </c>
      <c r="C41" s="11" t="s">
        <v>225</v>
      </c>
      <c r="D41" s="6" t="s">
        <v>226</v>
      </c>
      <c r="E41" s="7">
        <v>380</v>
      </c>
      <c r="F41" s="7">
        <v>26212.72</v>
      </c>
      <c r="G41" s="7">
        <v>9960833.6</v>
      </c>
      <c r="H41" s="10">
        <v>0</v>
      </c>
      <c r="I41" s="10">
        <v>206.27</v>
      </c>
      <c r="J41" s="7">
        <f>H41+I41</f>
        <v>206.27</v>
      </c>
      <c r="K41" s="7">
        <f>I41*F41</f>
        <v>5406897.754400001</v>
      </c>
      <c r="L41" s="7">
        <f>J41*F41</f>
        <v>5406897.754400001</v>
      </c>
    </row>
    <row r="42" spans="1:12">
      <c r="A42" s="6" t="s">
        <v>211</v>
      </c>
      <c r="B42" s="6" t="s">
        <v>227</v>
      </c>
      <c r="C42" s="11" t="s">
        <v>228</v>
      </c>
      <c r="D42" s="6" t="s">
        <v>190</v>
      </c>
      <c r="E42" s="7">
        <v>10250</v>
      </c>
      <c r="F42" s="7">
        <v>3430.29</v>
      </c>
      <c r="G42" s="7">
        <v>35160472.5</v>
      </c>
      <c r="H42" s="10">
        <v>0</v>
      </c>
      <c r="I42" s="10">
        <v>1930.07</v>
      </c>
      <c r="J42" s="7">
        <f>H42+I42</f>
        <v>1930.07</v>
      </c>
      <c r="K42" s="7">
        <f>I42*F42</f>
        <v>6620699.8203</v>
      </c>
      <c r="L42" s="7">
        <f>J42*F42</f>
        <v>6620699.8203</v>
      </c>
    </row>
    <row r="43" spans="1:12">
      <c r="A43" s="6" t="s">
        <v>211</v>
      </c>
      <c r="B43" s="6" t="s">
        <v>229</v>
      </c>
      <c r="C43" s="11" t="s">
        <v>230</v>
      </c>
      <c r="D43" s="6" t="s">
        <v>179</v>
      </c>
      <c r="E43" s="7">
        <v>72</v>
      </c>
      <c r="F43" s="7">
        <v>170.86</v>
      </c>
      <c r="G43" s="7">
        <v>12301.92</v>
      </c>
      <c r="H43" s="10">
        <v>0</v>
      </c>
      <c r="I43" s="10">
        <v>0</v>
      </c>
      <c r="J43" s="7">
        <f>H43+I43</f>
        <v>0.0</v>
      </c>
      <c r="K43" s="7">
        <f>I43*F43</f>
        <v>0.0</v>
      </c>
      <c r="L43" s="7">
        <f>J43*F43</f>
        <v>0.0</v>
      </c>
    </row>
    <row r="44" spans="1:12">
      <c r="A44" s="6" t="s">
        <v>211</v>
      </c>
      <c r="B44" s="6" t="s">
        <v>231</v>
      </c>
      <c r="C44" s="11" t="s">
        <v>232</v>
      </c>
      <c r="D44" s="6" t="s">
        <v>179</v>
      </c>
      <c r="E44" s="7">
        <v>145</v>
      </c>
      <c r="F44" s="7">
        <v>7881.45</v>
      </c>
      <c r="G44" s="7">
        <v>1142810.25</v>
      </c>
      <c r="H44" s="10">
        <v>0</v>
      </c>
      <c r="I44" s="10">
        <v>0</v>
      </c>
      <c r="J44" s="7">
        <f>H44+I44</f>
        <v>0.0</v>
      </c>
      <c r="K44" s="7">
        <f>I44*F44</f>
        <v>0.0</v>
      </c>
      <c r="L44" s="7">
        <f>J44*F44</f>
        <v>0.0</v>
      </c>
    </row>
    <row r="45" spans="1:12">
      <c r="A45" s="6" t="s">
        <v>211</v>
      </c>
      <c r="B45" s="6" t="s">
        <v>233</v>
      </c>
      <c r="C45" s="11" t="s">
        <v>234</v>
      </c>
      <c r="D45" s="6" t="s">
        <v>179</v>
      </c>
      <c r="E45" s="7">
        <v>1570</v>
      </c>
      <c r="F45" s="7">
        <v>1350.32</v>
      </c>
      <c r="G45" s="7">
        <v>2120002.4</v>
      </c>
      <c r="H45" s="10">
        <v>0</v>
      </c>
      <c r="I45" s="10">
        <v>0</v>
      </c>
      <c r="J45" s="7">
        <f>H45+I45</f>
        <v>0.0</v>
      </c>
      <c r="K45" s="7">
        <f>I45*F45</f>
        <v>0.0</v>
      </c>
      <c r="L45" s="7">
        <f>J45*F45</f>
        <v>0.0</v>
      </c>
    </row>
    <row r="46" spans="1:12">
      <c r="A46" s="6" t="s">
        <v>211</v>
      </c>
      <c r="B46" s="6" t="s">
        <v>235</v>
      </c>
      <c r="C46" s="11" t="s">
        <v>236</v>
      </c>
      <c r="D46" s="6" t="s">
        <v>237</v>
      </c>
      <c r="E46" s="7">
        <v>38</v>
      </c>
      <c r="F46" s="7">
        <v>1175.79</v>
      </c>
      <c r="G46" s="7">
        <v>44815.24</v>
      </c>
      <c r="H46" s="10">
        <v>0</v>
      </c>
      <c r="I46" s="10">
        <v>0</v>
      </c>
      <c r="J46" s="7">
        <f>H46+I46</f>
        <v>0.0</v>
      </c>
      <c r="K46" s="7">
        <f>I46*F46</f>
        <v>0.0</v>
      </c>
      <c r="L46" s="7">
        <f>J46*F46</f>
        <v>0.0</v>
      </c>
    </row>
    <row r="47" spans="1:12">
      <c r="A47" s="6" t="s">
        <v>211</v>
      </c>
      <c r="B47" s="6" t="s">
        <v>238</v>
      </c>
      <c r="C47" s="11" t="s">
        <v>239</v>
      </c>
      <c r="D47" s="6" t="s">
        <v>168</v>
      </c>
      <c r="E47" s="7">
        <v>550</v>
      </c>
      <c r="F47" s="7">
        <v>55.56</v>
      </c>
      <c r="G47" s="7">
        <v>30558</v>
      </c>
      <c r="H47" s="10">
        <v>0</v>
      </c>
      <c r="I47" s="10">
        <v>0</v>
      </c>
      <c r="J47" s="7">
        <f>H47+I47</f>
        <v>0.0</v>
      </c>
      <c r="K47" s="7">
        <f>I47*F47</f>
        <v>0.0</v>
      </c>
      <c r="L47" s="7">
        <f>J47*F47</f>
        <v>0.0</v>
      </c>
    </row>
    <row r="48" spans="1:12">
      <c r="A48" s="6" t="s">
        <v>211</v>
      </c>
      <c r="B48" s="6" t="s">
        <v>240</v>
      </c>
      <c r="C48" s="11" t="s">
        <v>241</v>
      </c>
      <c r="D48" s="6" t="s">
        <v>165</v>
      </c>
      <c r="E48" s="7">
        <v>1700</v>
      </c>
      <c r="F48" s="7">
        <v>104.66</v>
      </c>
      <c r="G48" s="7">
        <v>177922</v>
      </c>
      <c r="H48" s="10">
        <v>0</v>
      </c>
      <c r="I48" s="10">
        <v>0</v>
      </c>
      <c r="J48" s="7">
        <f>H48+I48</f>
        <v>0.0</v>
      </c>
      <c r="K48" s="7">
        <f>I48*F48</f>
        <v>0.0</v>
      </c>
      <c r="L48" s="7">
        <f>J48*F48</f>
        <v>0.0</v>
      </c>
    </row>
    <row r="49" spans="1:12">
      <c r="A49" s="6" t="s">
        <v>211</v>
      </c>
      <c r="B49" s="6" t="s">
        <v>242</v>
      </c>
      <c r="C49" s="11" t="s">
        <v>243</v>
      </c>
      <c r="D49" s="6" t="s">
        <v>179</v>
      </c>
      <c r="E49" s="7">
        <v>430</v>
      </c>
      <c r="F49" s="7">
        <v>466.64</v>
      </c>
      <c r="G49" s="7">
        <v>200655.2</v>
      </c>
      <c r="H49" s="10">
        <v>0</v>
      </c>
      <c r="I49" s="10">
        <v>0</v>
      </c>
      <c r="J49" s="7">
        <f>H49+I49</f>
        <v>0.0</v>
      </c>
      <c r="K49" s="7">
        <f>I49*F49</f>
        <v>0.0</v>
      </c>
      <c r="L49" s="7">
        <f>J49*F49</f>
        <v>0.0</v>
      </c>
    </row>
    <row r="50" spans="1:12">
      <c r="A50" s="6" t="s">
        <v>211</v>
      </c>
      <c r="B50" s="6" t="s">
        <v>244</v>
      </c>
      <c r="C50" s="11" t="s">
        <v>245</v>
      </c>
      <c r="D50" s="6" t="s">
        <v>179</v>
      </c>
      <c r="E50" s="7">
        <v>197</v>
      </c>
      <c r="F50" s="7">
        <v>720.17</v>
      </c>
      <c r="G50" s="7">
        <v>141873.49</v>
      </c>
      <c r="H50" s="10">
        <v>0</v>
      </c>
      <c r="I50" s="10">
        <v>0</v>
      </c>
      <c r="J50" s="7">
        <f>H50+I50</f>
        <v>0.0</v>
      </c>
      <c r="K50" s="7">
        <f>I50*F50</f>
        <v>0.0</v>
      </c>
      <c r="L50" s="7">
        <f>J50*F50</f>
        <v>0.0</v>
      </c>
    </row>
    <row r="51" spans="1:12">
      <c r="A51" s="6" t="s">
        <v>211</v>
      </c>
      <c r="B51" s="6" t="s">
        <v>246</v>
      </c>
      <c r="C51" s="11" t="s">
        <v>247</v>
      </c>
      <c r="D51" s="6" t="s">
        <v>179</v>
      </c>
      <c r="E51" s="7">
        <v>100</v>
      </c>
      <c r="F51" s="7">
        <v>341.71</v>
      </c>
      <c r="G51" s="7">
        <v>34205.17</v>
      </c>
      <c r="H51" s="10">
        <v>0</v>
      </c>
      <c r="I51" s="10">
        <v>0</v>
      </c>
      <c r="J51" s="7">
        <f>H51+I51</f>
        <v>0.0</v>
      </c>
      <c r="K51" s="7">
        <f>I51*F51</f>
        <v>0.0</v>
      </c>
      <c r="L51" s="7">
        <f>J51*F51</f>
        <v>0.0</v>
      </c>
    </row>
    <row r="52" spans="1:12">
      <c r="A52" s="6" t="s">
        <v>211</v>
      </c>
      <c r="B52" s="6" t="s">
        <v>248</v>
      </c>
      <c r="C52" s="11" t="s">
        <v>249</v>
      </c>
      <c r="D52" s="6" t="s">
        <v>179</v>
      </c>
      <c r="E52" s="7">
        <v>18</v>
      </c>
      <c r="F52" s="7">
        <v>275.58</v>
      </c>
      <c r="G52" s="7">
        <v>5015.56</v>
      </c>
      <c r="H52" s="10">
        <v>0</v>
      </c>
      <c r="I52" s="10">
        <v>0</v>
      </c>
      <c r="J52" s="7">
        <f>H52+I52</f>
        <v>0.0</v>
      </c>
      <c r="K52" s="7">
        <f>I52*F52</f>
        <v>0.0</v>
      </c>
      <c r="L52" s="7">
        <f>J52*F52</f>
        <v>0.0</v>
      </c>
    </row>
    <row r="53" spans="1:12">
      <c r="A53" s="6" t="s">
        <v>211</v>
      </c>
      <c r="B53" s="6" t="s">
        <v>250</v>
      </c>
      <c r="C53" s="11" t="s">
        <v>251</v>
      </c>
      <c r="D53" s="6" t="s">
        <v>179</v>
      </c>
      <c r="E53" s="7">
        <v>80</v>
      </c>
      <c r="F53" s="7">
        <v>846.9299999999999</v>
      </c>
      <c r="G53" s="7">
        <v>67754.39999999999</v>
      </c>
      <c r="H53" s="10">
        <v>0</v>
      </c>
      <c r="I53" s="10">
        <v>0</v>
      </c>
      <c r="J53" s="7">
        <f>H53+I53</f>
        <v>0.0</v>
      </c>
      <c r="K53" s="7">
        <f>I53*F53</f>
        <v>0.0</v>
      </c>
      <c r="L53" s="7">
        <f>J53*F53</f>
        <v>0.0</v>
      </c>
    </row>
    <row r="54" spans="1:12">
      <c r="A54" s="6" t="s">
        <v>211</v>
      </c>
      <c r="B54" s="6" t="s">
        <v>252</v>
      </c>
      <c r="C54" s="11" t="s">
        <v>253</v>
      </c>
      <c r="D54" s="6" t="s">
        <v>140</v>
      </c>
      <c r="E54" s="7">
        <v>5100</v>
      </c>
      <c r="F54" s="7">
        <v>155.15</v>
      </c>
      <c r="G54" s="7">
        <v>791265</v>
      </c>
      <c r="H54" s="10">
        <v>3699.94</v>
      </c>
      <c r="I54" s="10">
        <v>463.73</v>
      </c>
      <c r="J54" s="7">
        <f>H54+I54</f>
        <v>4163.67</v>
      </c>
      <c r="K54" s="7">
        <f>I54*F54</f>
        <v>71947.70950000001</v>
      </c>
      <c r="L54" s="7">
        <f>J54*F54</f>
        <v>645993.4005</v>
      </c>
    </row>
    <row r="55" spans="1:12">
      <c r="A55" s="6" t="s">
        <v>211</v>
      </c>
      <c r="B55" s="6" t="s">
        <v>254</v>
      </c>
      <c r="C55" s="11" t="s">
        <v>255</v>
      </c>
      <c r="D55" s="6" t="s">
        <v>140</v>
      </c>
      <c r="E55" s="7">
        <v>14400</v>
      </c>
      <c r="F55" s="7">
        <v>179.95</v>
      </c>
      <c r="G55" s="7">
        <v>2591280</v>
      </c>
      <c r="H55" s="10">
        <v>0</v>
      </c>
      <c r="I55" s="10">
        <v>0</v>
      </c>
      <c r="J55" s="7">
        <f>H55+I55</f>
        <v>0.0</v>
      </c>
      <c r="K55" s="7">
        <f>I55*F55</f>
        <v>0.0</v>
      </c>
      <c r="L55" s="7">
        <f>J55*F55</f>
        <v>0.0</v>
      </c>
    </row>
    <row r="56" spans="1:12">
      <c r="A56" s="6" t="s">
        <v>211</v>
      </c>
      <c r="B56" s="6" t="s">
        <v>256</v>
      </c>
      <c r="C56" s="11" t="s">
        <v>257</v>
      </c>
      <c r="D56" s="6" t="s">
        <v>140</v>
      </c>
      <c r="E56" s="7">
        <v>400</v>
      </c>
      <c r="F56" s="7">
        <v>59.27</v>
      </c>
      <c r="G56" s="7">
        <v>23708</v>
      </c>
      <c r="H56" s="10">
        <v>0</v>
      </c>
      <c r="I56" s="10">
        <v>0</v>
      </c>
      <c r="J56" s="7">
        <f>H56+I56</f>
        <v>0.0</v>
      </c>
      <c r="K56" s="7">
        <f>I56*F56</f>
        <v>0.0</v>
      </c>
      <c r="L56" s="7">
        <f>J56*F56</f>
        <v>0.0</v>
      </c>
    </row>
    <row r="57" spans="1:12">
      <c r="A57" s="6" t="s">
        <v>211</v>
      </c>
      <c r="B57" s="6" t="s">
        <v>258</v>
      </c>
      <c r="C57" s="11" t="s">
        <v>259</v>
      </c>
      <c r="D57" s="6" t="s">
        <v>140</v>
      </c>
      <c r="E57" s="7">
        <v>2830</v>
      </c>
      <c r="F57" s="7">
        <v>81.31</v>
      </c>
      <c r="G57" s="7">
        <v>230107.3</v>
      </c>
      <c r="H57" s="10">
        <v>0</v>
      </c>
      <c r="I57" s="10">
        <v>0</v>
      </c>
      <c r="J57" s="7">
        <f>H57+I57</f>
        <v>0.0</v>
      </c>
      <c r="K57" s="7">
        <f>I57*F57</f>
        <v>0.0</v>
      </c>
      <c r="L57" s="7">
        <f>J57*F57</f>
        <v>0.0</v>
      </c>
    </row>
    <row r="58" spans="1:12">
      <c r="A58" s="6" t="s">
        <v>211</v>
      </c>
      <c r="B58" s="6" t="s">
        <v>260</v>
      </c>
      <c r="C58" s="11" t="s">
        <v>261</v>
      </c>
      <c r="D58" s="6" t="s">
        <v>140</v>
      </c>
      <c r="E58" s="7">
        <v>21800</v>
      </c>
      <c r="F58" s="7">
        <v>143.96</v>
      </c>
      <c r="G58" s="7">
        <v>3138328</v>
      </c>
      <c r="H58" s="10">
        <v>0</v>
      </c>
      <c r="I58" s="10">
        <v>0</v>
      </c>
      <c r="J58" s="7">
        <f>H58+I58</f>
        <v>0.0</v>
      </c>
      <c r="K58" s="7">
        <f>I58*F58</f>
        <v>0.0</v>
      </c>
      <c r="L58" s="7">
        <f>J58*F58</f>
        <v>0.0</v>
      </c>
    </row>
    <row r="59" spans="1:12">
      <c r="A59" s="6" t="s">
        <v>211</v>
      </c>
      <c r="B59" s="6" t="s">
        <v>262</v>
      </c>
      <c r="C59" s="11" t="s">
        <v>263</v>
      </c>
      <c r="D59" s="6" t="s">
        <v>264</v>
      </c>
      <c r="E59" s="7">
        <v>3850000</v>
      </c>
      <c r="F59" s="7">
        <v>5.68</v>
      </c>
      <c r="G59" s="7">
        <v>21868000</v>
      </c>
      <c r="H59" s="10">
        <v>533306.2</v>
      </c>
      <c r="I59" s="10">
        <v>526079.0600000001</v>
      </c>
      <c r="J59" s="7">
        <f>H59+I59</f>
        <v>1059385.26</v>
      </c>
      <c r="K59" s="7">
        <f>I59*F59</f>
        <v>2988129.0608</v>
      </c>
      <c r="L59" s="7">
        <f>J59*F59</f>
        <v>6017308.2768</v>
      </c>
    </row>
    <row r="60" spans="1:12">
      <c r="A60" s="6" t="s">
        <v>211</v>
      </c>
      <c r="B60" s="6" t="s">
        <v>265</v>
      </c>
      <c r="C60" s="11" t="s">
        <v>266</v>
      </c>
      <c r="D60" s="6" t="s">
        <v>130</v>
      </c>
      <c r="E60" s="7">
        <v>108</v>
      </c>
      <c r="F60" s="7">
        <v>4703.15</v>
      </c>
      <c r="G60" s="7">
        <v>507940.2</v>
      </c>
      <c r="H60" s="10">
        <v>0</v>
      </c>
      <c r="I60" s="10">
        <v>0</v>
      </c>
      <c r="J60" s="7">
        <f>H60+I60</f>
        <v>0.0</v>
      </c>
      <c r="K60" s="7">
        <f>I60*F60</f>
        <v>0.0</v>
      </c>
      <c r="L60" s="7">
        <f>J60*F60</f>
        <v>0.0</v>
      </c>
    </row>
    <row r="61" spans="1:12">
      <c r="A61" s="6" t="s">
        <v>211</v>
      </c>
      <c r="B61" s="6" t="s">
        <v>267</v>
      </c>
      <c r="C61" s="11" t="s">
        <v>268</v>
      </c>
      <c r="D61" s="6" t="s">
        <v>140</v>
      </c>
      <c r="E61" s="7">
        <v>13800</v>
      </c>
      <c r="F61" s="7">
        <v>77.78</v>
      </c>
      <c r="G61" s="7">
        <v>1073364</v>
      </c>
      <c r="H61" s="10">
        <v>0</v>
      </c>
      <c r="I61" s="10">
        <v>0</v>
      </c>
      <c r="J61" s="7">
        <f>H61+I61</f>
        <v>0.0</v>
      </c>
      <c r="K61" s="7">
        <f>I61*F61</f>
        <v>0.0</v>
      </c>
      <c r="L61" s="7">
        <f>J61*F61</f>
        <v>0.0</v>
      </c>
    </row>
    <row r="62" spans="1:12">
      <c r="A62" s="6" t="s">
        <v>269</v>
      </c>
      <c r="B62" s="6" t="s">
        <v>270</v>
      </c>
      <c r="C62" s="11" t="s">
        <v>213</v>
      </c>
      <c r="D62" s="6" t="s">
        <v>190</v>
      </c>
      <c r="E62" s="7">
        <v>9800</v>
      </c>
      <c r="F62" s="7">
        <v>107.64</v>
      </c>
      <c r="G62" s="7">
        <v>1054872</v>
      </c>
      <c r="H62" s="10">
        <v>1083.58</v>
      </c>
      <c r="I62" s="10">
        <v>2458.09</v>
      </c>
      <c r="J62" s="7">
        <f>H62+I62</f>
        <v>3541.67</v>
      </c>
      <c r="K62" s="7">
        <f>I62*F62</f>
        <v>264588.8076</v>
      </c>
      <c r="L62" s="7">
        <f>J62*F62</f>
        <v>381225.3588</v>
      </c>
    </row>
    <row r="63" spans="1:12">
      <c r="A63" s="6" t="s">
        <v>269</v>
      </c>
      <c r="B63" s="6" t="s">
        <v>271</v>
      </c>
      <c r="C63" s="11" t="s">
        <v>215</v>
      </c>
      <c r="D63" s="6" t="s">
        <v>190</v>
      </c>
      <c r="E63" s="7">
        <v>6775</v>
      </c>
      <c r="F63" s="7">
        <v>1273.98</v>
      </c>
      <c r="G63" s="7">
        <v>8631214.5</v>
      </c>
      <c r="H63" s="10">
        <v>647.5</v>
      </c>
      <c r="I63" s="10">
        <v>1378.5</v>
      </c>
      <c r="J63" s="7">
        <f>H63+I63</f>
        <v>2026.0</v>
      </c>
      <c r="K63" s="7">
        <f>I63*F63</f>
        <v>1756181.43</v>
      </c>
      <c r="L63" s="7">
        <f>J63*F63</f>
        <v>2581083.48</v>
      </c>
    </row>
    <row r="64" spans="1:12">
      <c r="A64" s="6" t="s">
        <v>269</v>
      </c>
      <c r="B64" s="6" t="s">
        <v>272</v>
      </c>
      <c r="C64" s="11" t="s">
        <v>217</v>
      </c>
      <c r="D64" s="6" t="s">
        <v>190</v>
      </c>
      <c r="E64" s="7">
        <v>670</v>
      </c>
      <c r="F64" s="7">
        <v>2323.33</v>
      </c>
      <c r="G64" s="7">
        <v>1556631.1</v>
      </c>
      <c r="H64" s="10">
        <v>47.08</v>
      </c>
      <c r="I64" s="10">
        <v>143.15</v>
      </c>
      <c r="J64" s="7">
        <f>H64+I64</f>
        <v>190.23000000000002</v>
      </c>
      <c r="K64" s="7">
        <f>I64*F64</f>
        <v>332584.6895</v>
      </c>
      <c r="L64" s="7">
        <f>J64*F64</f>
        <v>441967.06590000005</v>
      </c>
    </row>
    <row r="65" spans="1:12">
      <c r="A65" s="6" t="s">
        <v>269</v>
      </c>
      <c r="B65" s="6" t="s">
        <v>273</v>
      </c>
      <c r="C65" s="11" t="s">
        <v>219</v>
      </c>
      <c r="D65" s="6" t="s">
        <v>140</v>
      </c>
      <c r="E65" s="7">
        <v>3300</v>
      </c>
      <c r="F65" s="7">
        <v>95.53</v>
      </c>
      <c r="G65" s="7">
        <v>315249</v>
      </c>
      <c r="H65" s="10">
        <v>491.54</v>
      </c>
      <c r="I65" s="10">
        <v>801.5</v>
      </c>
      <c r="J65" s="7">
        <f>H65+I65</f>
        <v>1293.04</v>
      </c>
      <c r="K65" s="7">
        <f>I65*F65</f>
        <v>76567.295</v>
      </c>
      <c r="L65" s="7">
        <f>J65*F65</f>
        <v>123524.1112</v>
      </c>
    </row>
    <row r="66" spans="1:12">
      <c r="A66" s="6" t="s">
        <v>269</v>
      </c>
      <c r="B66" s="6" t="s">
        <v>274</v>
      </c>
      <c r="C66" s="11" t="s">
        <v>221</v>
      </c>
      <c r="D66" s="6" t="s">
        <v>130</v>
      </c>
      <c r="E66" s="7">
        <v>18</v>
      </c>
      <c r="F66" s="7">
        <v>69676.45</v>
      </c>
      <c r="G66" s="7">
        <v>1254176.1</v>
      </c>
      <c r="H66" s="10">
        <v>0</v>
      </c>
      <c r="I66" s="10">
        <v>0</v>
      </c>
      <c r="J66" s="7">
        <f>H66+I66</f>
        <v>0.0</v>
      </c>
      <c r="K66" s="7">
        <f>I66*F66</f>
        <v>0.0</v>
      </c>
      <c r="L66" s="7">
        <f>J66*F66</f>
        <v>0.0</v>
      </c>
    </row>
    <row r="67" spans="1:12">
      <c r="A67" s="6" t="s">
        <v>269</v>
      </c>
      <c r="B67" s="6" t="s">
        <v>275</v>
      </c>
      <c r="C67" s="11" t="s">
        <v>223</v>
      </c>
      <c r="D67" s="6" t="s">
        <v>130</v>
      </c>
      <c r="E67" s="7">
        <v>18</v>
      </c>
      <c r="F67" s="7">
        <v>82235.34</v>
      </c>
      <c r="G67" s="7">
        <v>1480236.12</v>
      </c>
      <c r="H67" s="10">
        <v>0</v>
      </c>
      <c r="I67" s="10">
        <v>0</v>
      </c>
      <c r="J67" s="7">
        <f>H67+I67</f>
        <v>0.0</v>
      </c>
      <c r="K67" s="7">
        <f>I67*F67</f>
        <v>0.0</v>
      </c>
      <c r="L67" s="7">
        <f>J67*F67</f>
        <v>0.0</v>
      </c>
    </row>
    <row r="68" spans="1:12">
      <c r="A68" s="6" t="s">
        <v>269</v>
      </c>
      <c r="B68" s="6" t="s">
        <v>276</v>
      </c>
      <c r="C68" s="11" t="s">
        <v>225</v>
      </c>
      <c r="D68" s="6" t="s">
        <v>226</v>
      </c>
      <c r="E68" s="7">
        <v>380</v>
      </c>
      <c r="F68" s="7">
        <v>26212.72</v>
      </c>
      <c r="G68" s="7">
        <v>9960833.6</v>
      </c>
      <c r="H68" s="10">
        <v>0</v>
      </c>
      <c r="I68" s="10">
        <v>0</v>
      </c>
      <c r="J68" s="7">
        <f>H68+I68</f>
        <v>0.0</v>
      </c>
      <c r="K68" s="7">
        <f>I68*F68</f>
        <v>0.0</v>
      </c>
      <c r="L68" s="7">
        <f>J68*F68</f>
        <v>0.0</v>
      </c>
    </row>
    <row r="69" spans="1:12">
      <c r="A69" s="6" t="s">
        <v>269</v>
      </c>
      <c r="B69" s="6" t="s">
        <v>277</v>
      </c>
      <c r="C69" s="11" t="s">
        <v>228</v>
      </c>
      <c r="D69" s="6" t="s">
        <v>190</v>
      </c>
      <c r="E69" s="7">
        <v>10250</v>
      </c>
      <c r="F69" s="7">
        <v>3430.29</v>
      </c>
      <c r="G69" s="7">
        <v>35160472.5</v>
      </c>
      <c r="H69" s="10">
        <v>0</v>
      </c>
      <c r="I69" s="10">
        <v>1100.59</v>
      </c>
      <c r="J69" s="7">
        <f>H69+I69</f>
        <v>1100.59</v>
      </c>
      <c r="K69" s="7">
        <f>I69*F69</f>
        <v>3775342.8710999996</v>
      </c>
      <c r="L69" s="7">
        <f>J69*F69</f>
        <v>3775342.8710999996</v>
      </c>
    </row>
    <row r="70" spans="1:12">
      <c r="A70" s="6" t="s">
        <v>269</v>
      </c>
      <c r="B70" s="6" t="s">
        <v>278</v>
      </c>
      <c r="C70" s="11" t="s">
        <v>230</v>
      </c>
      <c r="D70" s="6" t="s">
        <v>179</v>
      </c>
      <c r="E70" s="7">
        <v>72</v>
      </c>
      <c r="F70" s="7">
        <v>170.86</v>
      </c>
      <c r="G70" s="7">
        <v>12301.92</v>
      </c>
      <c r="H70" s="10">
        <v>0</v>
      </c>
      <c r="I70" s="10">
        <v>0</v>
      </c>
      <c r="J70" s="7">
        <f>H70+I70</f>
        <v>0.0</v>
      </c>
      <c r="K70" s="7">
        <f>I70*F70</f>
        <v>0.0</v>
      </c>
      <c r="L70" s="7">
        <f>J70*F70</f>
        <v>0.0</v>
      </c>
    </row>
    <row r="71" spans="1:12">
      <c r="A71" s="6" t="s">
        <v>269</v>
      </c>
      <c r="B71" s="6" t="s">
        <v>279</v>
      </c>
      <c r="C71" s="11" t="s">
        <v>232</v>
      </c>
      <c r="D71" s="6" t="s">
        <v>179</v>
      </c>
      <c r="E71" s="7">
        <v>145</v>
      </c>
      <c r="F71" s="7">
        <v>7881.45</v>
      </c>
      <c r="G71" s="7">
        <v>1142810.25</v>
      </c>
      <c r="H71" s="10">
        <v>0</v>
      </c>
      <c r="I71" s="10">
        <v>0</v>
      </c>
      <c r="J71" s="7">
        <f>H71+I71</f>
        <v>0.0</v>
      </c>
      <c r="K71" s="7">
        <f>I71*F71</f>
        <v>0.0</v>
      </c>
      <c r="L71" s="7">
        <f>J71*F71</f>
        <v>0.0</v>
      </c>
    </row>
    <row r="72" spans="1:12">
      <c r="A72" s="6" t="s">
        <v>269</v>
      </c>
      <c r="B72" s="6" t="s">
        <v>280</v>
      </c>
      <c r="C72" s="11" t="s">
        <v>234</v>
      </c>
      <c r="D72" s="6" t="s">
        <v>179</v>
      </c>
      <c r="E72" s="7">
        <v>1570</v>
      </c>
      <c r="F72" s="7">
        <v>1350.32</v>
      </c>
      <c r="G72" s="7">
        <v>2120002.4</v>
      </c>
      <c r="H72" s="10">
        <v>0</v>
      </c>
      <c r="I72" s="10">
        <v>0</v>
      </c>
      <c r="J72" s="7">
        <f>H72+I72</f>
        <v>0.0</v>
      </c>
      <c r="K72" s="7">
        <f>I72*F72</f>
        <v>0.0</v>
      </c>
      <c r="L72" s="7">
        <f>J72*F72</f>
        <v>0.0</v>
      </c>
    </row>
    <row r="73" spans="1:12">
      <c r="A73" s="6" t="s">
        <v>269</v>
      </c>
      <c r="B73" s="6" t="s">
        <v>281</v>
      </c>
      <c r="C73" s="11" t="s">
        <v>236</v>
      </c>
      <c r="D73" s="6" t="s">
        <v>237</v>
      </c>
      <c r="E73" s="7">
        <v>38</v>
      </c>
      <c r="F73" s="7">
        <v>1175.79</v>
      </c>
      <c r="G73" s="7">
        <v>44815.24</v>
      </c>
      <c r="H73" s="10">
        <v>0</v>
      </c>
      <c r="I73" s="10">
        <v>0</v>
      </c>
      <c r="J73" s="7">
        <f>H73+I73</f>
        <v>0.0</v>
      </c>
      <c r="K73" s="7">
        <f>I73*F73</f>
        <v>0.0</v>
      </c>
      <c r="L73" s="7">
        <f>J73*F73</f>
        <v>0.0</v>
      </c>
    </row>
    <row r="74" spans="1:12">
      <c r="A74" s="6" t="s">
        <v>269</v>
      </c>
      <c r="B74" s="6" t="s">
        <v>282</v>
      </c>
      <c r="C74" s="11" t="s">
        <v>239</v>
      </c>
      <c r="D74" s="6" t="s">
        <v>168</v>
      </c>
      <c r="E74" s="7">
        <v>550</v>
      </c>
      <c r="F74" s="7">
        <v>55.56</v>
      </c>
      <c r="G74" s="7">
        <v>30558</v>
      </c>
      <c r="H74" s="10">
        <v>0</v>
      </c>
      <c r="I74" s="10">
        <v>0</v>
      </c>
      <c r="J74" s="7">
        <f>H74+I74</f>
        <v>0.0</v>
      </c>
      <c r="K74" s="7">
        <f>I74*F74</f>
        <v>0.0</v>
      </c>
      <c r="L74" s="7">
        <f>J74*F74</f>
        <v>0.0</v>
      </c>
    </row>
    <row r="75" spans="1:12">
      <c r="A75" s="6" t="s">
        <v>269</v>
      </c>
      <c r="B75" s="6" t="s">
        <v>283</v>
      </c>
      <c r="C75" s="11" t="s">
        <v>241</v>
      </c>
      <c r="D75" s="6" t="s">
        <v>165</v>
      </c>
      <c r="E75" s="7">
        <v>1700</v>
      </c>
      <c r="F75" s="7">
        <v>104.66</v>
      </c>
      <c r="G75" s="7">
        <v>177922</v>
      </c>
      <c r="H75" s="10">
        <v>0</v>
      </c>
      <c r="I75" s="10">
        <v>0</v>
      </c>
      <c r="J75" s="7">
        <f>H75+I75</f>
        <v>0.0</v>
      </c>
      <c r="K75" s="7">
        <f>I75*F75</f>
        <v>0.0</v>
      </c>
      <c r="L75" s="7">
        <f>J75*F75</f>
        <v>0.0</v>
      </c>
    </row>
    <row r="76" spans="1:12">
      <c r="A76" s="6" t="s">
        <v>269</v>
      </c>
      <c r="B76" s="6" t="s">
        <v>284</v>
      </c>
      <c r="C76" s="11" t="s">
        <v>243</v>
      </c>
      <c r="D76" s="6" t="s">
        <v>179</v>
      </c>
      <c r="E76" s="7">
        <v>430</v>
      </c>
      <c r="F76" s="7">
        <v>466.64</v>
      </c>
      <c r="G76" s="7">
        <v>200655.2</v>
      </c>
      <c r="H76" s="10">
        <v>0</v>
      </c>
      <c r="I76" s="10">
        <v>0</v>
      </c>
      <c r="J76" s="7">
        <f>H76+I76</f>
        <v>0.0</v>
      </c>
      <c r="K76" s="7">
        <f>I76*F76</f>
        <v>0.0</v>
      </c>
      <c r="L76" s="7">
        <f>J76*F76</f>
        <v>0.0</v>
      </c>
    </row>
    <row r="77" spans="1:12">
      <c r="A77" s="6" t="s">
        <v>269</v>
      </c>
      <c r="B77" s="6" t="s">
        <v>285</v>
      </c>
      <c r="C77" s="11" t="s">
        <v>245</v>
      </c>
      <c r="D77" s="6" t="s">
        <v>179</v>
      </c>
      <c r="E77" s="7">
        <v>197</v>
      </c>
      <c r="F77" s="7">
        <v>720.17</v>
      </c>
      <c r="G77" s="7">
        <v>141873.49</v>
      </c>
      <c r="H77" s="10">
        <v>0</v>
      </c>
      <c r="I77" s="10">
        <v>0</v>
      </c>
      <c r="J77" s="7">
        <f>H77+I77</f>
        <v>0.0</v>
      </c>
      <c r="K77" s="7">
        <f>I77*F77</f>
        <v>0.0</v>
      </c>
      <c r="L77" s="7">
        <f>J77*F77</f>
        <v>0.0</v>
      </c>
    </row>
    <row r="78" spans="1:12">
      <c r="A78" s="6" t="s">
        <v>269</v>
      </c>
      <c r="B78" s="6" t="s">
        <v>286</v>
      </c>
      <c r="C78" s="11" t="s">
        <v>247</v>
      </c>
      <c r="D78" s="6" t="s">
        <v>179</v>
      </c>
      <c r="E78" s="7">
        <v>100</v>
      </c>
      <c r="F78" s="7">
        <v>341.71</v>
      </c>
      <c r="G78" s="7">
        <v>34205.17</v>
      </c>
      <c r="H78" s="10">
        <v>0</v>
      </c>
      <c r="I78" s="10">
        <v>0</v>
      </c>
      <c r="J78" s="7">
        <f>H78+I78</f>
        <v>0.0</v>
      </c>
      <c r="K78" s="7">
        <f>I78*F78</f>
        <v>0.0</v>
      </c>
      <c r="L78" s="7">
        <f>J78*F78</f>
        <v>0.0</v>
      </c>
    </row>
    <row r="79" spans="1:12">
      <c r="A79" s="6" t="s">
        <v>269</v>
      </c>
      <c r="B79" s="6" t="s">
        <v>287</v>
      </c>
      <c r="C79" s="11" t="s">
        <v>249</v>
      </c>
      <c r="D79" s="6" t="s">
        <v>179</v>
      </c>
      <c r="E79" s="7">
        <v>18</v>
      </c>
      <c r="F79" s="7">
        <v>275.58</v>
      </c>
      <c r="G79" s="7">
        <v>5015.56</v>
      </c>
      <c r="H79" s="10">
        <v>0</v>
      </c>
      <c r="I79" s="10">
        <v>0</v>
      </c>
      <c r="J79" s="7">
        <f>H79+I79</f>
        <v>0.0</v>
      </c>
      <c r="K79" s="7">
        <f>I79*F79</f>
        <v>0.0</v>
      </c>
      <c r="L79" s="7">
        <f>J79*F79</f>
        <v>0.0</v>
      </c>
    </row>
    <row r="80" spans="1:12">
      <c r="A80" s="6" t="s">
        <v>269</v>
      </c>
      <c r="B80" s="6" t="s">
        <v>288</v>
      </c>
      <c r="C80" s="11" t="s">
        <v>251</v>
      </c>
      <c r="D80" s="6" t="s">
        <v>179</v>
      </c>
      <c r="E80" s="7">
        <v>80</v>
      </c>
      <c r="F80" s="7">
        <v>846.9299999999999</v>
      </c>
      <c r="G80" s="7">
        <v>67754.39999999999</v>
      </c>
      <c r="H80" s="10">
        <v>0</v>
      </c>
      <c r="I80" s="10">
        <v>0</v>
      </c>
      <c r="J80" s="7">
        <f>H80+I80</f>
        <v>0.0</v>
      </c>
      <c r="K80" s="7">
        <f>I80*F80</f>
        <v>0.0</v>
      </c>
      <c r="L80" s="7">
        <f>J80*F80</f>
        <v>0.0</v>
      </c>
    </row>
    <row r="81" spans="1:12">
      <c r="A81" s="6" t="s">
        <v>269</v>
      </c>
      <c r="B81" s="6" t="s">
        <v>289</v>
      </c>
      <c r="C81" s="11" t="s">
        <v>253</v>
      </c>
      <c r="D81" s="6" t="s">
        <v>140</v>
      </c>
      <c r="E81" s="7">
        <v>5100</v>
      </c>
      <c r="F81" s="7">
        <v>155.15</v>
      </c>
      <c r="G81" s="7">
        <v>791265</v>
      </c>
      <c r="H81" s="10">
        <v>804</v>
      </c>
      <c r="I81" s="10">
        <v>1072.72</v>
      </c>
      <c r="J81" s="7">
        <f>H81+I81</f>
        <v>1876.72</v>
      </c>
      <c r="K81" s="7">
        <f>I81*F81</f>
        <v>166432.508</v>
      </c>
      <c r="L81" s="7">
        <f>J81*F81</f>
        <v>291173.108</v>
      </c>
    </row>
    <row r="82" spans="1:12">
      <c r="A82" s="6" t="s">
        <v>269</v>
      </c>
      <c r="B82" s="6" t="s">
        <v>290</v>
      </c>
      <c r="C82" s="11" t="s">
        <v>255</v>
      </c>
      <c r="D82" s="6" t="s">
        <v>140</v>
      </c>
      <c r="E82" s="7">
        <v>14400</v>
      </c>
      <c r="F82" s="7">
        <v>179.95</v>
      </c>
      <c r="G82" s="7">
        <v>2591280</v>
      </c>
      <c r="H82" s="10">
        <v>0</v>
      </c>
      <c r="I82" s="10">
        <v>0</v>
      </c>
      <c r="J82" s="7">
        <f>H82+I82</f>
        <v>0.0</v>
      </c>
      <c r="K82" s="7">
        <f>I82*F82</f>
        <v>0.0</v>
      </c>
      <c r="L82" s="7">
        <f>J82*F82</f>
        <v>0.0</v>
      </c>
    </row>
    <row r="83" spans="1:12">
      <c r="A83" s="6" t="s">
        <v>269</v>
      </c>
      <c r="B83" s="6" t="s">
        <v>291</v>
      </c>
      <c r="C83" s="11" t="s">
        <v>257</v>
      </c>
      <c r="D83" s="6" t="s">
        <v>140</v>
      </c>
      <c r="E83" s="7">
        <v>400</v>
      </c>
      <c r="F83" s="7">
        <v>59.27</v>
      </c>
      <c r="G83" s="7">
        <v>23708</v>
      </c>
      <c r="H83" s="10">
        <v>0</v>
      </c>
      <c r="I83" s="10">
        <v>0</v>
      </c>
      <c r="J83" s="7">
        <f>H83+I83</f>
        <v>0.0</v>
      </c>
      <c r="K83" s="7">
        <f>I83*F83</f>
        <v>0.0</v>
      </c>
      <c r="L83" s="7">
        <f>J83*F83</f>
        <v>0.0</v>
      </c>
    </row>
    <row r="84" spans="1:12">
      <c r="A84" s="6" t="s">
        <v>269</v>
      </c>
      <c r="B84" s="6" t="s">
        <v>292</v>
      </c>
      <c r="C84" s="11" t="s">
        <v>259</v>
      </c>
      <c r="D84" s="6" t="s">
        <v>140</v>
      </c>
      <c r="E84" s="7">
        <v>2830</v>
      </c>
      <c r="F84" s="7">
        <v>81.31</v>
      </c>
      <c r="G84" s="7">
        <v>230107.3</v>
      </c>
      <c r="H84" s="10">
        <v>0</v>
      </c>
      <c r="I84" s="10">
        <v>0</v>
      </c>
      <c r="J84" s="7">
        <f>H84+I84</f>
        <v>0.0</v>
      </c>
      <c r="K84" s="7">
        <f>I84*F84</f>
        <v>0.0</v>
      </c>
      <c r="L84" s="7">
        <f>J84*F84</f>
        <v>0.0</v>
      </c>
    </row>
    <row r="85" spans="1:12">
      <c r="A85" s="6" t="s">
        <v>269</v>
      </c>
      <c r="B85" s="6" t="s">
        <v>293</v>
      </c>
      <c r="C85" s="11" t="s">
        <v>261</v>
      </c>
      <c r="D85" s="6" t="s">
        <v>140</v>
      </c>
      <c r="E85" s="7">
        <v>21800</v>
      </c>
      <c r="F85" s="7">
        <v>143.96</v>
      </c>
      <c r="G85" s="7">
        <v>3138328</v>
      </c>
      <c r="H85" s="10">
        <v>0</v>
      </c>
      <c r="I85" s="10">
        <v>0</v>
      </c>
      <c r="J85" s="7">
        <f>H85+I85</f>
        <v>0.0</v>
      </c>
      <c r="K85" s="7">
        <f>I85*F85</f>
        <v>0.0</v>
      </c>
      <c r="L85" s="7">
        <f>J85*F85</f>
        <v>0.0</v>
      </c>
    </row>
    <row r="86" spans="1:12">
      <c r="A86" s="6" t="s">
        <v>269</v>
      </c>
      <c r="B86" s="6" t="s">
        <v>294</v>
      </c>
      <c r="C86" s="11" t="s">
        <v>263</v>
      </c>
      <c r="D86" s="6" t="s">
        <v>264</v>
      </c>
      <c r="E86" s="7">
        <v>3850000</v>
      </c>
      <c r="F86" s="7">
        <v>5.68</v>
      </c>
      <c r="G86" s="7">
        <v>21868000</v>
      </c>
      <c r="H86" s="10">
        <v>132408.15</v>
      </c>
      <c r="I86" s="10">
        <v>612053.33</v>
      </c>
      <c r="J86" s="7">
        <f>H86+I86</f>
        <v>744461.48</v>
      </c>
      <c r="K86" s="7">
        <f>I86*F86</f>
        <v>3476462.9143999997</v>
      </c>
      <c r="L86" s="7">
        <f>J86*F86</f>
        <v>4228541.2064</v>
      </c>
    </row>
    <row r="87" spans="1:12">
      <c r="A87" s="6" t="s">
        <v>269</v>
      </c>
      <c r="B87" s="6" t="s">
        <v>295</v>
      </c>
      <c r="C87" s="11" t="s">
        <v>266</v>
      </c>
      <c r="D87" s="6" t="s">
        <v>130</v>
      </c>
      <c r="E87" s="7">
        <v>108</v>
      </c>
      <c r="F87" s="7">
        <v>4703.15</v>
      </c>
      <c r="G87" s="7">
        <v>507940.2</v>
      </c>
      <c r="H87" s="10">
        <v>0</v>
      </c>
      <c r="I87" s="10">
        <v>0</v>
      </c>
      <c r="J87" s="7">
        <f>H87+I87</f>
        <v>0.0</v>
      </c>
      <c r="K87" s="7">
        <f>I87*F87</f>
        <v>0.0</v>
      </c>
      <c r="L87" s="7">
        <f>J87*F87</f>
        <v>0.0</v>
      </c>
    </row>
    <row r="88" spans="1:12">
      <c r="A88" s="6" t="s">
        <v>269</v>
      </c>
      <c r="B88" s="6" t="s">
        <v>296</v>
      </c>
      <c r="C88" s="11" t="s">
        <v>268</v>
      </c>
      <c r="D88" s="6" t="s">
        <v>140</v>
      </c>
      <c r="E88" s="7">
        <v>14000</v>
      </c>
      <c r="F88" s="7">
        <v>77.78</v>
      </c>
      <c r="G88" s="7">
        <v>1088920</v>
      </c>
      <c r="H88" s="10">
        <v>0</v>
      </c>
      <c r="I88" s="10">
        <v>0</v>
      </c>
      <c r="J88" s="7">
        <f>H88+I88</f>
        <v>0.0</v>
      </c>
      <c r="K88" s="7">
        <f>I88*F88</f>
        <v>0.0</v>
      </c>
      <c r="L88" s="7">
        <f>J88*F88</f>
        <v>0.0</v>
      </c>
    </row>
    <row r="89" spans="1:12">
      <c r="A89" s="6" t="s">
        <v>297</v>
      </c>
      <c r="B89" s="6" t="s">
        <v>298</v>
      </c>
      <c r="C89" s="11" t="s">
        <v>213</v>
      </c>
      <c r="D89" s="6" t="s">
        <v>190</v>
      </c>
      <c r="E89" s="7">
        <v>8000</v>
      </c>
      <c r="F89" s="7">
        <v>107.64</v>
      </c>
      <c r="G89" s="7">
        <v>861120</v>
      </c>
      <c r="H89" s="10">
        <v>0</v>
      </c>
      <c r="I89" s="10">
        <v>866.97</v>
      </c>
      <c r="J89" s="7">
        <f>H89+I89</f>
        <v>866.97</v>
      </c>
      <c r="K89" s="7">
        <f>I89*F89</f>
        <v>93320.6508</v>
      </c>
      <c r="L89" s="7">
        <f>J89*F89</f>
        <v>93320.6508</v>
      </c>
    </row>
    <row r="90" spans="1:12">
      <c r="A90" s="6" t="s">
        <v>297</v>
      </c>
      <c r="B90" s="6" t="s">
        <v>299</v>
      </c>
      <c r="C90" s="11" t="s">
        <v>215</v>
      </c>
      <c r="D90" s="6" t="s">
        <v>190</v>
      </c>
      <c r="E90" s="7">
        <v>6000</v>
      </c>
      <c r="F90" s="7">
        <v>1273.98</v>
      </c>
      <c r="G90" s="7">
        <v>7643880</v>
      </c>
      <c r="H90" s="10">
        <v>0</v>
      </c>
      <c r="I90" s="10">
        <v>552</v>
      </c>
      <c r="J90" s="7">
        <f>H90+I90</f>
        <v>552.0</v>
      </c>
      <c r="K90" s="7">
        <f>I90*F90</f>
        <v>703236.96</v>
      </c>
      <c r="L90" s="7">
        <f>J90*F90</f>
        <v>703236.96</v>
      </c>
    </row>
    <row r="91" spans="1:12">
      <c r="A91" s="6" t="s">
        <v>297</v>
      </c>
      <c r="B91" s="6" t="s">
        <v>300</v>
      </c>
      <c r="C91" s="11" t="s">
        <v>217</v>
      </c>
      <c r="D91" s="6" t="s">
        <v>190</v>
      </c>
      <c r="E91" s="7">
        <v>560</v>
      </c>
      <c r="F91" s="7">
        <v>2323.33</v>
      </c>
      <c r="G91" s="7">
        <v>1301064.8</v>
      </c>
      <c r="H91" s="10">
        <v>0</v>
      </c>
      <c r="I91" s="10">
        <v>0</v>
      </c>
      <c r="J91" s="7">
        <f>H91+I91</f>
        <v>0.0</v>
      </c>
      <c r="K91" s="7">
        <f>I91*F91</f>
        <v>0.0</v>
      </c>
      <c r="L91" s="7">
        <f>J91*F91</f>
        <v>0.0</v>
      </c>
    </row>
    <row r="92" spans="1:12">
      <c r="A92" s="6" t="s">
        <v>297</v>
      </c>
      <c r="B92" s="6" t="s">
        <v>301</v>
      </c>
      <c r="C92" s="11" t="s">
        <v>219</v>
      </c>
      <c r="D92" s="6" t="s">
        <v>140</v>
      </c>
      <c r="E92" s="7">
        <v>2750</v>
      </c>
      <c r="F92" s="7">
        <v>95.53</v>
      </c>
      <c r="G92" s="7">
        <v>262707.5</v>
      </c>
      <c r="H92" s="10">
        <v>0</v>
      </c>
      <c r="I92" s="10">
        <v>394.45</v>
      </c>
      <c r="J92" s="7">
        <f>H92+I92</f>
        <v>394.45</v>
      </c>
      <c r="K92" s="7">
        <f>I92*F92</f>
        <v>37681.8085</v>
      </c>
      <c r="L92" s="7">
        <f>J92*F92</f>
        <v>37681.8085</v>
      </c>
    </row>
    <row r="93" spans="1:12">
      <c r="A93" s="6" t="s">
        <v>297</v>
      </c>
      <c r="B93" s="6" t="s">
        <v>302</v>
      </c>
      <c r="C93" s="11" t="s">
        <v>221</v>
      </c>
      <c r="D93" s="6" t="s">
        <v>130</v>
      </c>
      <c r="E93" s="7">
        <v>14</v>
      </c>
      <c r="F93" s="7">
        <v>69676.45</v>
      </c>
      <c r="G93" s="7">
        <v>975470.3</v>
      </c>
      <c r="H93" s="10">
        <v>0</v>
      </c>
      <c r="I93" s="10">
        <v>0</v>
      </c>
      <c r="J93" s="7">
        <f>H93+I93</f>
        <v>0.0</v>
      </c>
      <c r="K93" s="7">
        <f>I93*F93</f>
        <v>0.0</v>
      </c>
      <c r="L93" s="7">
        <f>J93*F93</f>
        <v>0.0</v>
      </c>
    </row>
    <row r="94" spans="1:12">
      <c r="A94" s="6" t="s">
        <v>297</v>
      </c>
      <c r="B94" s="6" t="s">
        <v>303</v>
      </c>
      <c r="C94" s="11" t="s">
        <v>223</v>
      </c>
      <c r="D94" s="6" t="s">
        <v>130</v>
      </c>
      <c r="E94" s="7">
        <v>14</v>
      </c>
      <c r="F94" s="7">
        <v>82235.34</v>
      </c>
      <c r="G94" s="7">
        <v>1151294.76</v>
      </c>
      <c r="H94" s="10">
        <v>0</v>
      </c>
      <c r="I94" s="10">
        <v>0</v>
      </c>
      <c r="J94" s="7">
        <f>H94+I94</f>
        <v>0.0</v>
      </c>
      <c r="K94" s="7">
        <f>I94*F94</f>
        <v>0.0</v>
      </c>
      <c r="L94" s="7">
        <f>J94*F94</f>
        <v>0.0</v>
      </c>
    </row>
    <row r="95" spans="1:12">
      <c r="A95" s="6" t="s">
        <v>297</v>
      </c>
      <c r="B95" s="6" t="s">
        <v>304</v>
      </c>
      <c r="C95" s="11" t="s">
        <v>225</v>
      </c>
      <c r="D95" s="6" t="s">
        <v>226</v>
      </c>
      <c r="E95" s="7">
        <v>320</v>
      </c>
      <c r="F95" s="7">
        <v>26212.72</v>
      </c>
      <c r="G95" s="7">
        <v>8388070.4</v>
      </c>
      <c r="H95" s="10">
        <v>0</v>
      </c>
      <c r="I95" s="10">
        <v>0</v>
      </c>
      <c r="J95" s="7">
        <f>H95+I95</f>
        <v>0.0</v>
      </c>
      <c r="K95" s="7">
        <f>I95*F95</f>
        <v>0.0</v>
      </c>
      <c r="L95" s="7">
        <f>J95*F95</f>
        <v>0.0</v>
      </c>
    </row>
    <row r="96" spans="1:12">
      <c r="A96" s="6" t="s">
        <v>297</v>
      </c>
      <c r="B96" s="6" t="s">
        <v>305</v>
      </c>
      <c r="C96" s="11" t="s">
        <v>228</v>
      </c>
      <c r="D96" s="6" t="s">
        <v>190</v>
      </c>
      <c r="E96" s="7">
        <v>9200</v>
      </c>
      <c r="F96" s="7">
        <v>3430.29</v>
      </c>
      <c r="G96" s="7">
        <v>31558668</v>
      </c>
      <c r="H96" s="10">
        <v>0</v>
      </c>
      <c r="I96" s="10">
        <v>0</v>
      </c>
      <c r="J96" s="7">
        <f>H96+I96</f>
        <v>0.0</v>
      </c>
      <c r="K96" s="7">
        <f>I96*F96</f>
        <v>0.0</v>
      </c>
      <c r="L96" s="7">
        <f>J96*F96</f>
        <v>0.0</v>
      </c>
    </row>
    <row r="97" spans="1:12">
      <c r="A97" s="6" t="s">
        <v>297</v>
      </c>
      <c r="B97" s="6" t="s">
        <v>306</v>
      </c>
      <c r="C97" s="11" t="s">
        <v>230</v>
      </c>
      <c r="D97" s="6" t="s">
        <v>179</v>
      </c>
      <c r="E97" s="7">
        <v>72</v>
      </c>
      <c r="F97" s="7">
        <v>170.86</v>
      </c>
      <c r="G97" s="7">
        <v>12301.92</v>
      </c>
      <c r="H97" s="10">
        <v>0</v>
      </c>
      <c r="I97" s="10">
        <v>0</v>
      </c>
      <c r="J97" s="7">
        <f>H97+I97</f>
        <v>0.0</v>
      </c>
      <c r="K97" s="7">
        <f>I97*F97</f>
        <v>0.0</v>
      </c>
      <c r="L97" s="7">
        <f>J97*F97</f>
        <v>0.0</v>
      </c>
    </row>
    <row r="98" spans="1:12">
      <c r="A98" s="6" t="s">
        <v>297</v>
      </c>
      <c r="B98" s="6" t="s">
        <v>307</v>
      </c>
      <c r="C98" s="11" t="s">
        <v>232</v>
      </c>
      <c r="D98" s="6" t="s">
        <v>179</v>
      </c>
      <c r="E98" s="7">
        <v>145</v>
      </c>
      <c r="F98" s="7">
        <v>7881.45</v>
      </c>
      <c r="G98" s="7">
        <v>1142810.25</v>
      </c>
      <c r="H98" s="10">
        <v>0</v>
      </c>
      <c r="I98" s="10">
        <v>0</v>
      </c>
      <c r="J98" s="7">
        <f>H98+I98</f>
        <v>0.0</v>
      </c>
      <c r="K98" s="7">
        <f>I98*F98</f>
        <v>0.0</v>
      </c>
      <c r="L98" s="7">
        <f>J98*F98</f>
        <v>0.0</v>
      </c>
    </row>
    <row r="99" spans="1:12">
      <c r="A99" s="6" t="s">
        <v>297</v>
      </c>
      <c r="B99" s="6" t="s">
        <v>308</v>
      </c>
      <c r="C99" s="11" t="s">
        <v>234</v>
      </c>
      <c r="D99" s="6" t="s">
        <v>179</v>
      </c>
      <c r="E99" s="7">
        <v>1280</v>
      </c>
      <c r="F99" s="7">
        <v>1350.32</v>
      </c>
      <c r="G99" s="7">
        <v>1728409.6</v>
      </c>
      <c r="H99" s="10">
        <v>0</v>
      </c>
      <c r="I99" s="10">
        <v>0</v>
      </c>
      <c r="J99" s="7">
        <f>H99+I99</f>
        <v>0.0</v>
      </c>
      <c r="K99" s="7">
        <f>I99*F99</f>
        <v>0.0</v>
      </c>
      <c r="L99" s="7">
        <f>J99*F99</f>
        <v>0.0</v>
      </c>
    </row>
    <row r="100" spans="1:12">
      <c r="A100" s="6" t="s">
        <v>297</v>
      </c>
      <c r="B100" s="6" t="s">
        <v>309</v>
      </c>
      <c r="C100" s="11" t="s">
        <v>236</v>
      </c>
      <c r="D100" s="6" t="s">
        <v>237</v>
      </c>
      <c r="E100" s="7">
        <v>32</v>
      </c>
      <c r="F100" s="7">
        <v>1175.79</v>
      </c>
      <c r="G100" s="7">
        <v>37760.5</v>
      </c>
      <c r="H100" s="10">
        <v>0</v>
      </c>
      <c r="I100" s="10">
        <v>0</v>
      </c>
      <c r="J100" s="7">
        <f>H100+I100</f>
        <v>0.0</v>
      </c>
      <c r="K100" s="7">
        <f>I100*F100</f>
        <v>0.0</v>
      </c>
      <c r="L100" s="7">
        <f>J100*F100</f>
        <v>0.0</v>
      </c>
    </row>
    <row r="101" spans="1:12">
      <c r="A101" s="6" t="s">
        <v>297</v>
      </c>
      <c r="B101" s="6" t="s">
        <v>310</v>
      </c>
      <c r="C101" s="11" t="s">
        <v>239</v>
      </c>
      <c r="D101" s="6" t="s">
        <v>168</v>
      </c>
      <c r="E101" s="7">
        <v>550</v>
      </c>
      <c r="F101" s="7">
        <v>55.56</v>
      </c>
      <c r="G101" s="7">
        <v>30558</v>
      </c>
      <c r="H101" s="10">
        <v>0</v>
      </c>
      <c r="I101" s="10">
        <v>0</v>
      </c>
      <c r="J101" s="7">
        <f>H101+I101</f>
        <v>0.0</v>
      </c>
      <c r="K101" s="7">
        <f>I101*F101</f>
        <v>0.0</v>
      </c>
      <c r="L101" s="7">
        <f>J101*F101</f>
        <v>0.0</v>
      </c>
    </row>
    <row r="102" spans="1:12">
      <c r="A102" s="6" t="s">
        <v>297</v>
      </c>
      <c r="B102" s="6" t="s">
        <v>311</v>
      </c>
      <c r="C102" s="11" t="s">
        <v>241</v>
      </c>
      <c r="D102" s="6" t="s">
        <v>165</v>
      </c>
      <c r="E102" s="7">
        <v>1700</v>
      </c>
      <c r="F102" s="7">
        <v>104.66</v>
      </c>
      <c r="G102" s="7">
        <v>177922</v>
      </c>
      <c r="H102" s="10">
        <v>0</v>
      </c>
      <c r="I102" s="10">
        <v>0</v>
      </c>
      <c r="J102" s="7">
        <f>H102+I102</f>
        <v>0.0</v>
      </c>
      <c r="K102" s="7">
        <f>I102*F102</f>
        <v>0.0</v>
      </c>
      <c r="L102" s="7">
        <f>J102*F102</f>
        <v>0.0</v>
      </c>
    </row>
    <row r="103" spans="1:12">
      <c r="A103" s="6" t="s">
        <v>297</v>
      </c>
      <c r="B103" s="6" t="s">
        <v>312</v>
      </c>
      <c r="C103" s="11" t="s">
        <v>243</v>
      </c>
      <c r="D103" s="6" t="s">
        <v>179</v>
      </c>
      <c r="E103" s="7">
        <v>350</v>
      </c>
      <c r="F103" s="7">
        <v>466.64</v>
      </c>
      <c r="G103" s="7">
        <v>163324</v>
      </c>
      <c r="H103" s="10">
        <v>0</v>
      </c>
      <c r="I103" s="10">
        <v>0</v>
      </c>
      <c r="J103" s="7">
        <f>H103+I103</f>
        <v>0.0</v>
      </c>
      <c r="K103" s="7">
        <f>I103*F103</f>
        <v>0.0</v>
      </c>
      <c r="L103" s="7">
        <f>J103*F103</f>
        <v>0.0</v>
      </c>
    </row>
    <row r="104" spans="1:12">
      <c r="A104" s="6" t="s">
        <v>297</v>
      </c>
      <c r="B104" s="6" t="s">
        <v>313</v>
      </c>
      <c r="C104" s="11" t="s">
        <v>245</v>
      </c>
      <c r="D104" s="6" t="s">
        <v>179</v>
      </c>
      <c r="E104" s="7">
        <v>197</v>
      </c>
      <c r="F104" s="7">
        <v>720.17</v>
      </c>
      <c r="G104" s="7">
        <v>141873.49</v>
      </c>
      <c r="H104" s="10">
        <v>0</v>
      </c>
      <c r="I104" s="10">
        <v>0</v>
      </c>
      <c r="J104" s="7">
        <f>H104+I104</f>
        <v>0.0</v>
      </c>
      <c r="K104" s="7">
        <f>I104*F104</f>
        <v>0.0</v>
      </c>
      <c r="L104" s="7">
        <f>J104*F104</f>
        <v>0.0</v>
      </c>
    </row>
    <row r="105" spans="1:12">
      <c r="A105" s="6" t="s">
        <v>297</v>
      </c>
      <c r="B105" s="6" t="s">
        <v>314</v>
      </c>
      <c r="C105" s="11" t="s">
        <v>247</v>
      </c>
      <c r="D105" s="6" t="s">
        <v>179</v>
      </c>
      <c r="E105" s="7">
        <v>77</v>
      </c>
      <c r="F105" s="7">
        <v>341.71</v>
      </c>
      <c r="G105" s="7">
        <v>26386.85</v>
      </c>
      <c r="H105" s="10">
        <v>0</v>
      </c>
      <c r="I105" s="10">
        <v>0</v>
      </c>
      <c r="J105" s="7">
        <f>H105+I105</f>
        <v>0.0</v>
      </c>
      <c r="K105" s="7">
        <f>I105*F105</f>
        <v>0.0</v>
      </c>
      <c r="L105" s="7">
        <f>J105*F105</f>
        <v>0.0</v>
      </c>
    </row>
    <row r="106" spans="1:12">
      <c r="A106" s="6" t="s">
        <v>297</v>
      </c>
      <c r="B106" s="6" t="s">
        <v>315</v>
      </c>
      <c r="C106" s="11" t="s">
        <v>249</v>
      </c>
      <c r="D106" s="6" t="s">
        <v>179</v>
      </c>
      <c r="E106" s="7">
        <v>18</v>
      </c>
      <c r="F106" s="7">
        <v>275.58</v>
      </c>
      <c r="G106" s="7">
        <v>5015.56</v>
      </c>
      <c r="H106" s="10">
        <v>0</v>
      </c>
      <c r="I106" s="10">
        <v>0</v>
      </c>
      <c r="J106" s="7">
        <f>H106+I106</f>
        <v>0.0</v>
      </c>
      <c r="K106" s="7">
        <f>I106*F106</f>
        <v>0.0</v>
      </c>
      <c r="L106" s="7">
        <f>J106*F106</f>
        <v>0.0</v>
      </c>
    </row>
    <row r="107" spans="1:12">
      <c r="A107" s="6" t="s">
        <v>297</v>
      </c>
      <c r="B107" s="6" t="s">
        <v>316</v>
      </c>
      <c r="C107" s="11" t="s">
        <v>251</v>
      </c>
      <c r="D107" s="6" t="s">
        <v>179</v>
      </c>
      <c r="E107" s="7">
        <v>80</v>
      </c>
      <c r="F107" s="7">
        <v>846.9299999999999</v>
      </c>
      <c r="G107" s="7">
        <v>67754.39999999999</v>
      </c>
      <c r="H107" s="10">
        <v>0</v>
      </c>
      <c r="I107" s="10">
        <v>0</v>
      </c>
      <c r="J107" s="7">
        <f>H107+I107</f>
        <v>0.0</v>
      </c>
      <c r="K107" s="7">
        <f>I107*F107</f>
        <v>0.0</v>
      </c>
      <c r="L107" s="7">
        <f>J107*F107</f>
        <v>0.0</v>
      </c>
    </row>
    <row r="108" spans="1:12">
      <c r="A108" s="6" t="s">
        <v>297</v>
      </c>
      <c r="B108" s="6" t="s">
        <v>317</v>
      </c>
      <c r="C108" s="11" t="s">
        <v>253</v>
      </c>
      <c r="D108" s="6" t="s">
        <v>140</v>
      </c>
      <c r="E108" s="7">
        <v>4300</v>
      </c>
      <c r="F108" s="7">
        <v>155.15</v>
      </c>
      <c r="G108" s="7">
        <v>667145</v>
      </c>
      <c r="H108" s="10">
        <v>0</v>
      </c>
      <c r="I108" s="10">
        <v>556</v>
      </c>
      <c r="J108" s="7">
        <f>H108+I108</f>
        <v>556.0</v>
      </c>
      <c r="K108" s="7">
        <f>I108*F108</f>
        <v>86263.40000000001</v>
      </c>
      <c r="L108" s="7">
        <f>J108*F108</f>
        <v>86263.40000000001</v>
      </c>
    </row>
    <row r="109" spans="1:12">
      <c r="A109" s="6" t="s">
        <v>297</v>
      </c>
      <c r="B109" s="6" t="s">
        <v>318</v>
      </c>
      <c r="C109" s="11" t="s">
        <v>255</v>
      </c>
      <c r="D109" s="6" t="s">
        <v>140</v>
      </c>
      <c r="E109" s="7">
        <v>11800</v>
      </c>
      <c r="F109" s="7">
        <v>179.95</v>
      </c>
      <c r="G109" s="7">
        <v>2123410</v>
      </c>
      <c r="H109" s="10">
        <v>0</v>
      </c>
      <c r="I109" s="10">
        <v>0</v>
      </c>
      <c r="J109" s="7">
        <f>H109+I109</f>
        <v>0.0</v>
      </c>
      <c r="K109" s="7">
        <f>I109*F109</f>
        <v>0.0</v>
      </c>
      <c r="L109" s="7">
        <f>J109*F109</f>
        <v>0.0</v>
      </c>
    </row>
    <row r="110" spans="1:12">
      <c r="A110" s="6" t="s">
        <v>297</v>
      </c>
      <c r="B110" s="6" t="s">
        <v>319</v>
      </c>
      <c r="C110" s="11" t="s">
        <v>257</v>
      </c>
      <c r="D110" s="6" t="s">
        <v>140</v>
      </c>
      <c r="E110" s="7">
        <v>400</v>
      </c>
      <c r="F110" s="7">
        <v>59.27</v>
      </c>
      <c r="G110" s="7">
        <v>23708</v>
      </c>
      <c r="H110" s="10">
        <v>0</v>
      </c>
      <c r="I110" s="10">
        <v>0</v>
      </c>
      <c r="J110" s="7">
        <f>H110+I110</f>
        <v>0.0</v>
      </c>
      <c r="K110" s="7">
        <f>I110*F110</f>
        <v>0.0</v>
      </c>
      <c r="L110" s="7">
        <f>J110*F110</f>
        <v>0.0</v>
      </c>
    </row>
    <row r="111" spans="1:12">
      <c r="A111" s="6" t="s">
        <v>297</v>
      </c>
      <c r="B111" s="6" t="s">
        <v>320</v>
      </c>
      <c r="C111" s="11" t="s">
        <v>259</v>
      </c>
      <c r="D111" s="6" t="s">
        <v>140</v>
      </c>
      <c r="E111" s="7">
        <v>2300</v>
      </c>
      <c r="F111" s="7">
        <v>81.31</v>
      </c>
      <c r="G111" s="7">
        <v>187013</v>
      </c>
      <c r="H111" s="10">
        <v>0</v>
      </c>
      <c r="I111" s="10">
        <v>0</v>
      </c>
      <c r="J111" s="7">
        <f>H111+I111</f>
        <v>0.0</v>
      </c>
      <c r="K111" s="7">
        <f>I111*F111</f>
        <v>0.0</v>
      </c>
      <c r="L111" s="7">
        <f>J111*F111</f>
        <v>0.0</v>
      </c>
    </row>
    <row r="112" spans="1:12">
      <c r="A112" s="6" t="s">
        <v>297</v>
      </c>
      <c r="B112" s="6" t="s">
        <v>321</v>
      </c>
      <c r="C112" s="11" t="s">
        <v>261</v>
      </c>
      <c r="D112" s="6" t="s">
        <v>140</v>
      </c>
      <c r="E112" s="7">
        <v>17500</v>
      </c>
      <c r="F112" s="7">
        <v>143.96</v>
      </c>
      <c r="G112" s="7">
        <v>2519300</v>
      </c>
      <c r="H112" s="10">
        <v>0</v>
      </c>
      <c r="I112" s="10">
        <v>0</v>
      </c>
      <c r="J112" s="7">
        <f>H112+I112</f>
        <v>0.0</v>
      </c>
      <c r="K112" s="7">
        <f>I112*F112</f>
        <v>0.0</v>
      </c>
      <c r="L112" s="7">
        <f>J112*F112</f>
        <v>0.0</v>
      </c>
    </row>
    <row r="113" spans="1:12">
      <c r="A113" s="6" t="s">
        <v>297</v>
      </c>
      <c r="B113" s="6" t="s">
        <v>322</v>
      </c>
      <c r="C113" s="11" t="s">
        <v>263</v>
      </c>
      <c r="D113" s="6" t="s">
        <v>264</v>
      </c>
      <c r="E113" s="7">
        <v>3350000</v>
      </c>
      <c r="F113" s="7">
        <v>5.68</v>
      </c>
      <c r="G113" s="7">
        <v>19028000</v>
      </c>
      <c r="H113" s="10">
        <v>0</v>
      </c>
      <c r="I113" s="10">
        <v>77099</v>
      </c>
      <c r="J113" s="7">
        <f>H113+I113</f>
        <v>77099.0</v>
      </c>
      <c r="K113" s="7">
        <f>I113*F113</f>
        <v>437922.32</v>
      </c>
      <c r="L113" s="7">
        <f>J113*F113</f>
        <v>437922.32</v>
      </c>
    </row>
    <row r="114" spans="1:12">
      <c r="A114" s="6" t="s">
        <v>297</v>
      </c>
      <c r="B114" s="6" t="s">
        <v>323</v>
      </c>
      <c r="C114" s="11" t="s">
        <v>266</v>
      </c>
      <c r="D114" s="6" t="s">
        <v>130</v>
      </c>
      <c r="E114" s="7">
        <v>84</v>
      </c>
      <c r="F114" s="7">
        <v>4703.15</v>
      </c>
      <c r="G114" s="7">
        <v>395064.6</v>
      </c>
      <c r="H114" s="10">
        <v>0</v>
      </c>
      <c r="I114" s="10">
        <v>0</v>
      </c>
      <c r="J114" s="7">
        <f>H114+I114</f>
        <v>0.0</v>
      </c>
      <c r="K114" s="7">
        <f>I114*F114</f>
        <v>0.0</v>
      </c>
      <c r="L114" s="7">
        <f>J114*F114</f>
        <v>0.0</v>
      </c>
    </row>
    <row r="115" spans="1:12">
      <c r="A115" s="6" t="s">
        <v>297</v>
      </c>
      <c r="B115" s="6" t="s">
        <v>324</v>
      </c>
      <c r="C115" s="11" t="s">
        <v>268</v>
      </c>
      <c r="D115" s="6" t="s">
        <v>140</v>
      </c>
      <c r="E115" s="7">
        <v>11400</v>
      </c>
      <c r="F115" s="7">
        <v>77.78</v>
      </c>
      <c r="G115" s="7">
        <v>886692</v>
      </c>
      <c r="H115" s="10">
        <v>0</v>
      </c>
      <c r="I115" s="10">
        <v>0</v>
      </c>
      <c r="J115" s="7">
        <f>H115+I115</f>
        <v>0.0</v>
      </c>
      <c r="K115" s="7">
        <f>I115*F115</f>
        <v>0.0</v>
      </c>
      <c r="L115" s="7">
        <f>J115*F115</f>
        <v>0.0</v>
      </c>
    </row>
    <row r="116" spans="1:12">
      <c r="A116" s="6" t="s">
        <v>325</v>
      </c>
      <c r="B116" s="6" t="s">
        <v>326</v>
      </c>
      <c r="C116" s="11" t="s">
        <v>213</v>
      </c>
      <c r="D116" s="6" t="s">
        <v>190</v>
      </c>
      <c r="E116" s="7">
        <v>2500</v>
      </c>
      <c r="F116" s="7">
        <v>107.64</v>
      </c>
      <c r="G116" s="7">
        <v>269100</v>
      </c>
      <c r="H116" s="10">
        <v>469.49</v>
      </c>
      <c r="I116" s="10">
        <v>0</v>
      </c>
      <c r="J116" s="7">
        <f>H116+I116</f>
        <v>469.49</v>
      </c>
      <c r="K116" s="7">
        <f>I116*F116</f>
        <v>0.0</v>
      </c>
      <c r="L116" s="7">
        <f>J116*F116</f>
        <v>50535.9036</v>
      </c>
    </row>
    <row r="117" spans="1:12">
      <c r="A117" s="6" t="s">
        <v>325</v>
      </c>
      <c r="B117" s="6" t="s">
        <v>327</v>
      </c>
      <c r="C117" s="11" t="s">
        <v>215</v>
      </c>
      <c r="D117" s="6" t="s">
        <v>190</v>
      </c>
      <c r="E117" s="7">
        <v>1600</v>
      </c>
      <c r="F117" s="7">
        <v>1351.68</v>
      </c>
      <c r="G117" s="7">
        <v>2162688</v>
      </c>
      <c r="H117" s="10">
        <v>196.88</v>
      </c>
      <c r="I117" s="10">
        <v>245.64</v>
      </c>
      <c r="J117" s="7">
        <f>H117+I117</f>
        <v>442.52</v>
      </c>
      <c r="K117" s="7">
        <f>I117*F117</f>
        <v>332026.6752</v>
      </c>
      <c r="L117" s="7">
        <f>J117*F117</f>
        <v>598145.4336</v>
      </c>
    </row>
    <row r="118" spans="1:12">
      <c r="A118" s="6" t="s">
        <v>325</v>
      </c>
      <c r="B118" s="6" t="s">
        <v>328</v>
      </c>
      <c r="C118" s="11" t="s">
        <v>217</v>
      </c>
      <c r="D118" s="6" t="s">
        <v>190</v>
      </c>
      <c r="E118" s="7">
        <v>500</v>
      </c>
      <c r="F118" s="7">
        <v>3371.3</v>
      </c>
      <c r="G118" s="7">
        <v>1685650</v>
      </c>
      <c r="H118" s="10">
        <v>0</v>
      </c>
      <c r="I118" s="10">
        <v>45.89</v>
      </c>
      <c r="J118" s="7">
        <f>H118+I118</f>
        <v>45.89</v>
      </c>
      <c r="K118" s="7">
        <f>I118*F118</f>
        <v>154708.95700000002</v>
      </c>
      <c r="L118" s="7">
        <f>J118*F118</f>
        <v>154708.95700000002</v>
      </c>
    </row>
    <row r="119" spans="1:12">
      <c r="A119" s="6" t="s">
        <v>325</v>
      </c>
      <c r="B119" s="6" t="s">
        <v>329</v>
      </c>
      <c r="C119" s="11" t="s">
        <v>219</v>
      </c>
      <c r="D119" s="6" t="s">
        <v>140</v>
      </c>
      <c r="E119" s="7">
        <v>100</v>
      </c>
      <c r="F119" s="7">
        <v>95.53</v>
      </c>
      <c r="G119" s="7">
        <v>9553</v>
      </c>
      <c r="H119" s="10">
        <v>100</v>
      </c>
      <c r="I119" s="10">
        <v>0</v>
      </c>
      <c r="J119" s="7">
        <f>H119+I119</f>
        <v>100.0</v>
      </c>
      <c r="K119" s="7">
        <f>I119*F119</f>
        <v>0.0</v>
      </c>
      <c r="L119" s="7">
        <f>J119*F119</f>
        <v>9553.0</v>
      </c>
    </row>
    <row r="120" spans="1:12">
      <c r="A120" s="6" t="s">
        <v>325</v>
      </c>
      <c r="B120" s="6" t="s">
        <v>330</v>
      </c>
      <c r="C120" s="11" t="s">
        <v>331</v>
      </c>
      <c r="D120" s="6" t="s">
        <v>190</v>
      </c>
      <c r="E120" s="7">
        <v>1100</v>
      </c>
      <c r="F120" s="7">
        <v>4203.44</v>
      </c>
      <c r="G120" s="7">
        <v>4623784</v>
      </c>
      <c r="H120" s="10">
        <v>0</v>
      </c>
      <c r="I120" s="10">
        <v>0</v>
      </c>
      <c r="J120" s="7">
        <f>H120+I120</f>
        <v>0.0</v>
      </c>
      <c r="K120" s="7">
        <f>I120*F120</f>
        <v>0.0</v>
      </c>
      <c r="L120" s="7">
        <f>J120*F120</f>
        <v>0.0</v>
      </c>
    </row>
    <row r="121" spans="1:12">
      <c r="A121" s="6" t="s">
        <v>325</v>
      </c>
      <c r="B121" s="6" t="s">
        <v>332</v>
      </c>
      <c r="C121" s="11" t="s">
        <v>333</v>
      </c>
      <c r="D121" s="6" t="s">
        <v>190</v>
      </c>
      <c r="E121" s="7">
        <v>500</v>
      </c>
      <c r="F121" s="7">
        <v>8268.59</v>
      </c>
      <c r="G121" s="7">
        <v>4134295</v>
      </c>
      <c r="H121" s="10">
        <v>0</v>
      </c>
      <c r="I121" s="10">
        <v>0</v>
      </c>
      <c r="J121" s="7">
        <f>H121+I121</f>
        <v>0.0</v>
      </c>
      <c r="K121" s="7">
        <f>I121*F121</f>
        <v>0.0</v>
      </c>
      <c r="L121" s="7">
        <f>J121*F121</f>
        <v>0.0</v>
      </c>
    </row>
    <row r="122" spans="1:12">
      <c r="A122" s="6" t="s">
        <v>325</v>
      </c>
      <c r="B122" s="6" t="s">
        <v>334</v>
      </c>
      <c r="C122" s="11" t="s">
        <v>335</v>
      </c>
      <c r="D122" s="6" t="s">
        <v>130</v>
      </c>
      <c r="E122" s="7">
        <v>3</v>
      </c>
      <c r="F122" s="7">
        <v>42043.6</v>
      </c>
      <c r="G122" s="7">
        <v>126130.8</v>
      </c>
      <c r="H122" s="10">
        <v>0</v>
      </c>
      <c r="I122" s="10">
        <v>0</v>
      </c>
      <c r="J122" s="7">
        <f>H122+I122</f>
        <v>0.0</v>
      </c>
      <c r="K122" s="7">
        <f>I122*F122</f>
        <v>0.0</v>
      </c>
      <c r="L122" s="7">
        <f>J122*F122</f>
        <v>0.0</v>
      </c>
    </row>
    <row r="123" spans="1:12">
      <c r="A123" s="6" t="s">
        <v>325</v>
      </c>
      <c r="B123" s="6" t="s">
        <v>336</v>
      </c>
      <c r="C123" s="11" t="s">
        <v>337</v>
      </c>
      <c r="D123" s="6" t="s">
        <v>130</v>
      </c>
      <c r="E123" s="7">
        <v>6</v>
      </c>
      <c r="F123" s="7">
        <v>35764.16</v>
      </c>
      <c r="G123" s="7">
        <v>214584.96</v>
      </c>
      <c r="H123" s="10">
        <v>0</v>
      </c>
      <c r="I123" s="10">
        <v>0</v>
      </c>
      <c r="J123" s="7">
        <f>H123+I123</f>
        <v>0.0</v>
      </c>
      <c r="K123" s="7">
        <f>I123*F123</f>
        <v>0.0</v>
      </c>
      <c r="L123" s="7">
        <f>J123*F123</f>
        <v>0.0</v>
      </c>
    </row>
    <row r="124" spans="1:12">
      <c r="A124" s="6" t="s">
        <v>325</v>
      </c>
      <c r="B124" s="6" t="s">
        <v>338</v>
      </c>
      <c r="C124" s="11" t="s">
        <v>339</v>
      </c>
      <c r="D124" s="6" t="s">
        <v>130</v>
      </c>
      <c r="E124" s="7">
        <v>3</v>
      </c>
      <c r="F124" s="7">
        <v>42043.6</v>
      </c>
      <c r="G124" s="7">
        <v>126130.8</v>
      </c>
      <c r="H124" s="10">
        <v>0</v>
      </c>
      <c r="I124" s="10">
        <v>0</v>
      </c>
      <c r="J124" s="7">
        <f>H124+I124</f>
        <v>0.0</v>
      </c>
      <c r="K124" s="7">
        <f>I124*F124</f>
        <v>0.0</v>
      </c>
      <c r="L124" s="7">
        <f>J124*F124</f>
        <v>0.0</v>
      </c>
    </row>
    <row r="125" spans="1:12">
      <c r="A125" s="6" t="s">
        <v>325</v>
      </c>
      <c r="B125" s="6" t="s">
        <v>340</v>
      </c>
      <c r="C125" s="11" t="s">
        <v>341</v>
      </c>
      <c r="D125" s="6" t="s">
        <v>130</v>
      </c>
      <c r="E125" s="7">
        <v>6</v>
      </c>
      <c r="F125" s="7">
        <v>42043.6</v>
      </c>
      <c r="G125" s="7">
        <v>252261.6</v>
      </c>
      <c r="H125" s="10">
        <v>0</v>
      </c>
      <c r="I125" s="10">
        <v>0</v>
      </c>
      <c r="J125" s="7">
        <f>H125+I125</f>
        <v>0.0</v>
      </c>
      <c r="K125" s="7">
        <f>I125*F125</f>
        <v>0.0</v>
      </c>
      <c r="L125" s="7">
        <f>J125*F125</f>
        <v>0.0</v>
      </c>
    </row>
    <row r="126" spans="1:12">
      <c r="A126" s="6" t="s">
        <v>325</v>
      </c>
      <c r="B126" s="6" t="s">
        <v>342</v>
      </c>
      <c r="C126" s="11" t="s">
        <v>343</v>
      </c>
      <c r="D126" s="6" t="s">
        <v>130</v>
      </c>
      <c r="E126" s="7">
        <v>6</v>
      </c>
      <c r="F126" s="7">
        <v>49579.67</v>
      </c>
      <c r="G126" s="7">
        <v>297478.02</v>
      </c>
      <c r="H126" s="10">
        <v>0</v>
      </c>
      <c r="I126" s="10">
        <v>0</v>
      </c>
      <c r="J126" s="7">
        <f>H126+I126</f>
        <v>0.0</v>
      </c>
      <c r="K126" s="7">
        <f>I126*F126</f>
        <v>0.0</v>
      </c>
      <c r="L126" s="7">
        <f>J126*F126</f>
        <v>0.0</v>
      </c>
    </row>
    <row r="127" spans="1:12">
      <c r="A127" s="6" t="s">
        <v>325</v>
      </c>
      <c r="B127" s="6" t="s">
        <v>344</v>
      </c>
      <c r="C127" s="11" t="s">
        <v>225</v>
      </c>
      <c r="D127" s="6" t="s">
        <v>226</v>
      </c>
      <c r="E127" s="7">
        <v>26</v>
      </c>
      <c r="F127" s="7">
        <v>26212.72</v>
      </c>
      <c r="G127" s="7">
        <v>681530.72</v>
      </c>
      <c r="H127" s="10">
        <v>0</v>
      </c>
      <c r="I127" s="10">
        <v>0</v>
      </c>
      <c r="J127" s="7">
        <f>H127+I127</f>
        <v>0.0</v>
      </c>
      <c r="K127" s="7">
        <f>I127*F127</f>
        <v>0.0</v>
      </c>
      <c r="L127" s="7">
        <f>J127*F127</f>
        <v>0.0</v>
      </c>
    </row>
    <row r="128" spans="1:12">
      <c r="A128" s="6" t="s">
        <v>325</v>
      </c>
      <c r="B128" s="6" t="s">
        <v>345</v>
      </c>
      <c r="C128" s="11" t="s">
        <v>230</v>
      </c>
      <c r="D128" s="6" t="s">
        <v>179</v>
      </c>
      <c r="E128" s="7">
        <v>20</v>
      </c>
      <c r="F128" s="7">
        <v>170.86</v>
      </c>
      <c r="G128" s="7">
        <v>3417.2</v>
      </c>
      <c r="H128" s="10">
        <v>0</v>
      </c>
      <c r="I128" s="10">
        <v>0</v>
      </c>
      <c r="J128" s="7">
        <f>H128+I128</f>
        <v>0.0</v>
      </c>
      <c r="K128" s="7">
        <f>I128*F128</f>
        <v>0.0</v>
      </c>
      <c r="L128" s="7">
        <f>J128*F128</f>
        <v>0.0</v>
      </c>
    </row>
    <row r="129" spans="1:12">
      <c r="A129" s="6" t="s">
        <v>325</v>
      </c>
      <c r="B129" s="6" t="s">
        <v>346</v>
      </c>
      <c r="C129" s="11" t="s">
        <v>347</v>
      </c>
      <c r="D129" s="6" t="s">
        <v>179</v>
      </c>
      <c r="E129" s="7">
        <v>40</v>
      </c>
      <c r="F129" s="7">
        <v>8759.620000000001</v>
      </c>
      <c r="G129" s="7">
        <v>350384.8</v>
      </c>
      <c r="H129" s="10">
        <v>0</v>
      </c>
      <c r="I129" s="10">
        <v>0</v>
      </c>
      <c r="J129" s="7">
        <f>H129+I129</f>
        <v>0.0</v>
      </c>
      <c r="K129" s="7">
        <f>I129*F129</f>
        <v>0.0</v>
      </c>
      <c r="L129" s="7">
        <f>J129*F129</f>
        <v>0.0</v>
      </c>
    </row>
    <row r="130" spans="1:12">
      <c r="A130" s="6" t="s">
        <v>325</v>
      </c>
      <c r="B130" s="6" t="s">
        <v>348</v>
      </c>
      <c r="C130" s="11" t="s">
        <v>234</v>
      </c>
      <c r="D130" s="6" t="s">
        <v>179</v>
      </c>
      <c r="E130" s="7">
        <v>670</v>
      </c>
      <c r="F130" s="7">
        <v>1350.32</v>
      </c>
      <c r="G130" s="7">
        <v>904714.4</v>
      </c>
      <c r="H130" s="10">
        <v>0</v>
      </c>
      <c r="I130" s="10">
        <v>0</v>
      </c>
      <c r="J130" s="7">
        <f>H130+I130</f>
        <v>0.0</v>
      </c>
      <c r="K130" s="7">
        <f>I130*F130</f>
        <v>0.0</v>
      </c>
      <c r="L130" s="7">
        <f>J130*F130</f>
        <v>0.0</v>
      </c>
    </row>
    <row r="131" spans="1:12">
      <c r="A131" s="6" t="s">
        <v>325</v>
      </c>
      <c r="B131" s="6" t="s">
        <v>349</v>
      </c>
      <c r="C131" s="11" t="s">
        <v>239</v>
      </c>
      <c r="D131" s="6" t="s">
        <v>168</v>
      </c>
      <c r="E131" s="7">
        <v>200</v>
      </c>
      <c r="F131" s="7">
        <v>55.56</v>
      </c>
      <c r="G131" s="7">
        <v>11112</v>
      </c>
      <c r="H131" s="10">
        <v>0</v>
      </c>
      <c r="I131" s="10">
        <v>0</v>
      </c>
      <c r="J131" s="7">
        <f>H131+I131</f>
        <v>0.0</v>
      </c>
      <c r="K131" s="7">
        <f>I131*F131</f>
        <v>0.0</v>
      </c>
      <c r="L131" s="7">
        <f>J131*F131</f>
        <v>0.0</v>
      </c>
    </row>
    <row r="132" spans="1:12">
      <c r="A132" s="6" t="s">
        <v>325</v>
      </c>
      <c r="B132" s="6" t="s">
        <v>350</v>
      </c>
      <c r="C132" s="11" t="s">
        <v>241</v>
      </c>
      <c r="D132" s="6" t="s">
        <v>165</v>
      </c>
      <c r="E132" s="7">
        <v>470</v>
      </c>
      <c r="F132" s="7">
        <v>104.66</v>
      </c>
      <c r="G132" s="7">
        <v>49190.2</v>
      </c>
      <c r="H132" s="10">
        <v>0</v>
      </c>
      <c r="I132" s="10">
        <v>0</v>
      </c>
      <c r="J132" s="7">
        <f>H132+I132</f>
        <v>0.0</v>
      </c>
      <c r="K132" s="7">
        <f>I132*F132</f>
        <v>0.0</v>
      </c>
      <c r="L132" s="7">
        <f>J132*F132</f>
        <v>0.0</v>
      </c>
    </row>
    <row r="133" spans="1:12">
      <c r="A133" s="6" t="s">
        <v>325</v>
      </c>
      <c r="B133" s="6" t="s">
        <v>351</v>
      </c>
      <c r="C133" s="11" t="s">
        <v>243</v>
      </c>
      <c r="D133" s="6" t="s">
        <v>179</v>
      </c>
      <c r="E133" s="7">
        <v>18</v>
      </c>
      <c r="F133" s="7">
        <v>466.64</v>
      </c>
      <c r="G133" s="7">
        <v>8399.52</v>
      </c>
      <c r="H133" s="10">
        <v>0</v>
      </c>
      <c r="I133" s="10">
        <v>0</v>
      </c>
      <c r="J133" s="7">
        <f>H133+I133</f>
        <v>0.0</v>
      </c>
      <c r="K133" s="7">
        <f>I133*F133</f>
        <v>0.0</v>
      </c>
      <c r="L133" s="7">
        <f>J133*F133</f>
        <v>0.0</v>
      </c>
    </row>
    <row r="134" spans="1:12">
      <c r="A134" s="6" t="s">
        <v>325</v>
      </c>
      <c r="B134" s="6" t="s">
        <v>352</v>
      </c>
      <c r="C134" s="11" t="s">
        <v>245</v>
      </c>
      <c r="D134" s="6" t="s">
        <v>179</v>
      </c>
      <c r="E134" s="7">
        <v>19</v>
      </c>
      <c r="F134" s="7">
        <v>720.17</v>
      </c>
      <c r="G134" s="7">
        <v>13683.23</v>
      </c>
      <c r="H134" s="10">
        <v>0</v>
      </c>
      <c r="I134" s="10">
        <v>0</v>
      </c>
      <c r="J134" s="7">
        <f>H134+I134</f>
        <v>0.0</v>
      </c>
      <c r="K134" s="7">
        <f>I134*F134</f>
        <v>0.0</v>
      </c>
      <c r="L134" s="7">
        <f>J134*F134</f>
        <v>0.0</v>
      </c>
    </row>
    <row r="135" spans="1:12">
      <c r="A135" s="6" t="s">
        <v>325</v>
      </c>
      <c r="B135" s="6" t="s">
        <v>353</v>
      </c>
      <c r="C135" s="11" t="s">
        <v>354</v>
      </c>
      <c r="D135" s="6" t="s">
        <v>179</v>
      </c>
      <c r="E135" s="7">
        <v>15</v>
      </c>
      <c r="F135" s="7">
        <v>341.71</v>
      </c>
      <c r="G135" s="7">
        <v>5125.65</v>
      </c>
      <c r="H135" s="10">
        <v>0</v>
      </c>
      <c r="I135" s="10">
        <v>0</v>
      </c>
      <c r="J135" s="7">
        <f>H135+I135</f>
        <v>0.0</v>
      </c>
      <c r="K135" s="7">
        <f>I135*F135</f>
        <v>0.0</v>
      </c>
      <c r="L135" s="7">
        <f>J135*F135</f>
        <v>0.0</v>
      </c>
    </row>
    <row r="136" spans="1:12">
      <c r="A136" s="6" t="s">
        <v>325</v>
      </c>
      <c r="B136" s="6" t="s">
        <v>355</v>
      </c>
      <c r="C136" s="11" t="s">
        <v>249</v>
      </c>
      <c r="D136" s="6" t="s">
        <v>179</v>
      </c>
      <c r="E136" s="7">
        <v>5</v>
      </c>
      <c r="F136" s="7">
        <v>275.58</v>
      </c>
      <c r="G136" s="7">
        <v>1240.11</v>
      </c>
      <c r="H136" s="10">
        <v>0</v>
      </c>
      <c r="I136" s="10">
        <v>0</v>
      </c>
      <c r="J136" s="7">
        <f>H136+I136</f>
        <v>0.0</v>
      </c>
      <c r="K136" s="7">
        <f>I136*F136</f>
        <v>0.0</v>
      </c>
      <c r="L136" s="7">
        <f>J136*F136</f>
        <v>0.0</v>
      </c>
    </row>
    <row r="137" spans="1:12">
      <c r="A137" s="6" t="s">
        <v>325</v>
      </c>
      <c r="B137" s="6" t="s">
        <v>356</v>
      </c>
      <c r="C137" s="11" t="s">
        <v>251</v>
      </c>
      <c r="D137" s="6" t="s">
        <v>179</v>
      </c>
      <c r="E137" s="7">
        <v>39</v>
      </c>
      <c r="F137" s="7">
        <v>846.9299999999999</v>
      </c>
      <c r="G137" s="7">
        <v>33030.27</v>
      </c>
      <c r="H137" s="10">
        <v>0</v>
      </c>
      <c r="I137" s="10">
        <v>0</v>
      </c>
      <c r="J137" s="7">
        <f>H137+I137</f>
        <v>0.0</v>
      </c>
      <c r="K137" s="7">
        <f>I137*F137</f>
        <v>0.0</v>
      </c>
      <c r="L137" s="7">
        <f>J137*F137</f>
        <v>0.0</v>
      </c>
    </row>
    <row r="138" spans="1:12">
      <c r="A138" s="6" t="s">
        <v>325</v>
      </c>
      <c r="B138" s="6" t="s">
        <v>357</v>
      </c>
      <c r="C138" s="11" t="s">
        <v>253</v>
      </c>
      <c r="D138" s="6" t="s">
        <v>140</v>
      </c>
      <c r="E138" s="7">
        <v>1800</v>
      </c>
      <c r="F138" s="7">
        <v>155.15</v>
      </c>
      <c r="G138" s="7">
        <v>279270</v>
      </c>
      <c r="H138" s="10">
        <v>226.68</v>
      </c>
      <c r="I138" s="10">
        <v>264.79</v>
      </c>
      <c r="J138" s="7">
        <f>H138+I138</f>
        <v>491.47</v>
      </c>
      <c r="K138" s="7">
        <f>I138*F138</f>
        <v>41082.16850000001</v>
      </c>
      <c r="L138" s="7">
        <f>J138*F138</f>
        <v>76251.5705</v>
      </c>
    </row>
    <row r="139" spans="1:12">
      <c r="A139" s="6" t="s">
        <v>325</v>
      </c>
      <c r="B139" s="6" t="s">
        <v>358</v>
      </c>
      <c r="C139" s="11" t="s">
        <v>255</v>
      </c>
      <c r="D139" s="6" t="s">
        <v>140</v>
      </c>
      <c r="E139" s="7">
        <v>3300</v>
      </c>
      <c r="F139" s="7">
        <v>179.95</v>
      </c>
      <c r="G139" s="7">
        <v>593835</v>
      </c>
      <c r="H139" s="10">
        <v>0</v>
      </c>
      <c r="I139" s="10">
        <v>0</v>
      </c>
      <c r="J139" s="7">
        <f>H139+I139</f>
        <v>0.0</v>
      </c>
      <c r="K139" s="7">
        <f>I139*F139</f>
        <v>0.0</v>
      </c>
      <c r="L139" s="7">
        <f>J139*F139</f>
        <v>0.0</v>
      </c>
    </row>
    <row r="140" spans="1:12">
      <c r="A140" s="6" t="s">
        <v>325</v>
      </c>
      <c r="B140" s="6" t="s">
        <v>359</v>
      </c>
      <c r="C140" s="11" t="s">
        <v>257</v>
      </c>
      <c r="D140" s="6" t="s">
        <v>140</v>
      </c>
      <c r="E140" s="7">
        <v>100</v>
      </c>
      <c r="F140" s="7">
        <v>59.27</v>
      </c>
      <c r="G140" s="7">
        <v>5927</v>
      </c>
      <c r="H140" s="10">
        <v>0</v>
      </c>
      <c r="I140" s="10">
        <v>0</v>
      </c>
      <c r="J140" s="7">
        <f>H140+I140</f>
        <v>0.0</v>
      </c>
      <c r="K140" s="7">
        <f>I140*F140</f>
        <v>0.0</v>
      </c>
      <c r="L140" s="7">
        <f>J140*F140</f>
        <v>0.0</v>
      </c>
    </row>
    <row r="141" spans="1:12">
      <c r="A141" s="6" t="s">
        <v>325</v>
      </c>
      <c r="B141" s="6" t="s">
        <v>360</v>
      </c>
      <c r="C141" s="11" t="s">
        <v>259</v>
      </c>
      <c r="D141" s="6" t="s">
        <v>140</v>
      </c>
      <c r="E141" s="7">
        <v>700</v>
      </c>
      <c r="F141" s="7">
        <v>81.31</v>
      </c>
      <c r="G141" s="7">
        <v>56917</v>
      </c>
      <c r="H141" s="10">
        <v>0</v>
      </c>
      <c r="I141" s="10">
        <v>0</v>
      </c>
      <c r="J141" s="7">
        <f>H141+I141</f>
        <v>0.0</v>
      </c>
      <c r="K141" s="7">
        <f>I141*F141</f>
        <v>0.0</v>
      </c>
      <c r="L141" s="7">
        <f>J141*F141</f>
        <v>0.0</v>
      </c>
    </row>
    <row r="142" spans="1:12">
      <c r="A142" s="6" t="s">
        <v>325</v>
      </c>
      <c r="B142" s="6" t="s">
        <v>361</v>
      </c>
      <c r="C142" s="11" t="s">
        <v>261</v>
      </c>
      <c r="D142" s="6" t="s">
        <v>140</v>
      </c>
      <c r="E142" s="7">
        <v>5800</v>
      </c>
      <c r="F142" s="7">
        <v>143.96</v>
      </c>
      <c r="G142" s="7">
        <v>834968</v>
      </c>
      <c r="H142" s="10">
        <v>0</v>
      </c>
      <c r="I142" s="10">
        <v>0</v>
      </c>
      <c r="J142" s="7">
        <f>H142+I142</f>
        <v>0.0</v>
      </c>
      <c r="K142" s="7">
        <f>I142*F142</f>
        <v>0.0</v>
      </c>
      <c r="L142" s="7">
        <f>J142*F142</f>
        <v>0.0</v>
      </c>
    </row>
    <row r="143" spans="1:12">
      <c r="A143" s="6" t="s">
        <v>325</v>
      </c>
      <c r="B143" s="6" t="s">
        <v>362</v>
      </c>
      <c r="C143" s="11" t="s">
        <v>263</v>
      </c>
      <c r="D143" s="6" t="s">
        <v>264</v>
      </c>
      <c r="E143" s="7">
        <v>965000</v>
      </c>
      <c r="F143" s="7">
        <v>5.68</v>
      </c>
      <c r="G143" s="7">
        <v>5481200</v>
      </c>
      <c r="H143" s="10">
        <v>25955</v>
      </c>
      <c r="I143" s="10">
        <v>41617.3</v>
      </c>
      <c r="J143" s="7">
        <f>H143+I143</f>
        <v>67572.3</v>
      </c>
      <c r="K143" s="7">
        <f>I143*F143</f>
        <v>236386.264</v>
      </c>
      <c r="L143" s="7">
        <f>J143*F143</f>
        <v>383810.664</v>
      </c>
    </row>
    <row r="144" spans="1:12">
      <c r="A144" s="6" t="s">
        <v>325</v>
      </c>
      <c r="B144" s="6" t="s">
        <v>363</v>
      </c>
      <c r="C144" s="11" t="s">
        <v>364</v>
      </c>
      <c r="D144" s="6" t="s">
        <v>264</v>
      </c>
      <c r="E144" s="7">
        <v>550000</v>
      </c>
      <c r="F144" s="7">
        <v>32.44</v>
      </c>
      <c r="G144" s="7">
        <v>17842000</v>
      </c>
      <c r="H144" s="10">
        <v>0</v>
      </c>
      <c r="I144" s="10">
        <v>0</v>
      </c>
      <c r="J144" s="7">
        <f>H144+I144</f>
        <v>0.0</v>
      </c>
      <c r="K144" s="7">
        <f>I144*F144</f>
        <v>0.0</v>
      </c>
      <c r="L144" s="7">
        <f>J144*F144</f>
        <v>0.0</v>
      </c>
    </row>
    <row r="145" spans="1:12">
      <c r="A145" s="6" t="s">
        <v>325</v>
      </c>
      <c r="B145" s="6" t="s">
        <v>365</v>
      </c>
      <c r="C145" s="11" t="s">
        <v>366</v>
      </c>
      <c r="D145" s="6" t="s">
        <v>140</v>
      </c>
      <c r="E145" s="7">
        <v>1400</v>
      </c>
      <c r="F145" s="7">
        <v>462.97</v>
      </c>
      <c r="G145" s="7">
        <v>648158</v>
      </c>
      <c r="H145" s="10">
        <v>0</v>
      </c>
      <c r="I145" s="10">
        <v>0</v>
      </c>
      <c r="J145" s="7">
        <f>H145+I145</f>
        <v>0.0</v>
      </c>
      <c r="K145" s="7">
        <f>I145*F145</f>
        <v>0.0</v>
      </c>
      <c r="L145" s="7">
        <f>J145*F145</f>
        <v>0.0</v>
      </c>
    </row>
    <row r="146" spans="1:12">
      <c r="A146" s="6" t="s">
        <v>325</v>
      </c>
      <c r="B146" s="6" t="s">
        <v>367</v>
      </c>
      <c r="C146" s="11" t="s">
        <v>268</v>
      </c>
      <c r="D146" s="6" t="s">
        <v>140</v>
      </c>
      <c r="E146" s="7">
        <v>2936</v>
      </c>
      <c r="F146" s="7">
        <v>77.78</v>
      </c>
      <c r="G146" s="7">
        <v>228323.19</v>
      </c>
      <c r="H146" s="10">
        <v>0</v>
      </c>
      <c r="I146" s="10">
        <v>0</v>
      </c>
      <c r="J146" s="7">
        <f>H146+I146</f>
        <v>0.0</v>
      </c>
      <c r="K146" s="7">
        <f>I146*F146</f>
        <v>0.0</v>
      </c>
      <c r="L146" s="7">
        <f>J146*F146</f>
        <v>0.0</v>
      </c>
    </row>
    <row r="147" spans="1:12">
      <c r="A147" s="6" t="s">
        <v>368</v>
      </c>
      <c r="B147" s="6" t="s">
        <v>369</v>
      </c>
      <c r="C147" s="11" t="s">
        <v>370</v>
      </c>
      <c r="D147" s="6" t="s">
        <v>130</v>
      </c>
      <c r="E147" s="7">
        <v>871</v>
      </c>
      <c r="F147" s="7">
        <v>6151.06</v>
      </c>
      <c r="G147" s="7">
        <v>5357573.26</v>
      </c>
      <c r="H147" s="10">
        <v>0</v>
      </c>
      <c r="I147" s="10">
        <v>0</v>
      </c>
      <c r="J147" s="7">
        <f>H147+I147</f>
        <v>0.0</v>
      </c>
      <c r="K147" s="7">
        <f>I147*F147</f>
        <v>0.0</v>
      </c>
      <c r="L147" s="7">
        <f>J147*F147</f>
        <v>0.0</v>
      </c>
    </row>
    <row r="148" spans="1:12">
      <c r="A148" s="6" t="s">
        <v>368</v>
      </c>
      <c r="B148" s="6" t="s">
        <v>371</v>
      </c>
      <c r="C148" s="11" t="s">
        <v>372</v>
      </c>
      <c r="D148" s="6" t="s">
        <v>130</v>
      </c>
      <c r="E148" s="7">
        <v>871</v>
      </c>
      <c r="F148" s="7">
        <v>2103.98</v>
      </c>
      <c r="G148" s="7">
        <v>1832566.58</v>
      </c>
      <c r="H148" s="10">
        <v>0</v>
      </c>
      <c r="I148" s="10">
        <v>0</v>
      </c>
      <c r="J148" s="7">
        <f>H148+I148</f>
        <v>0.0</v>
      </c>
      <c r="K148" s="7">
        <f>I148*F148</f>
        <v>0.0</v>
      </c>
      <c r="L148" s="7">
        <f>J148*F148</f>
        <v>0.0</v>
      </c>
    </row>
    <row r="149" spans="1:12">
      <c r="A149" s="6" t="s">
        <v>368</v>
      </c>
      <c r="B149" s="6" t="s">
        <v>373</v>
      </c>
      <c r="C149" s="11" t="s">
        <v>374</v>
      </c>
      <c r="D149" s="6" t="s">
        <v>130</v>
      </c>
      <c r="E149" s="7">
        <v>577</v>
      </c>
      <c r="F149" s="7">
        <v>10175.09</v>
      </c>
      <c r="G149" s="7">
        <v>5871026.93</v>
      </c>
      <c r="H149" s="10">
        <v>0</v>
      </c>
      <c r="I149" s="10">
        <v>0</v>
      </c>
      <c r="J149" s="7">
        <f>H149+I149</f>
        <v>0.0</v>
      </c>
      <c r="K149" s="7">
        <f>I149*F149</f>
        <v>0.0</v>
      </c>
      <c r="L149" s="7">
        <f>J149*F149</f>
        <v>0.0</v>
      </c>
    </row>
    <row r="150" spans="1:12">
      <c r="A150" s="6" t="s">
        <v>368</v>
      </c>
      <c r="B150" s="6" t="s">
        <v>375</v>
      </c>
      <c r="C150" s="11" t="s">
        <v>376</v>
      </c>
      <c r="D150" s="6" t="s">
        <v>130</v>
      </c>
      <c r="E150" s="7">
        <v>577</v>
      </c>
      <c r="F150" s="7">
        <v>2103.98</v>
      </c>
      <c r="G150" s="7">
        <v>1213996.46</v>
      </c>
      <c r="H150" s="10">
        <v>0</v>
      </c>
      <c r="I150" s="10">
        <v>0</v>
      </c>
      <c r="J150" s="7">
        <f>H150+I150</f>
        <v>0.0</v>
      </c>
      <c r="K150" s="7">
        <f>I150*F150</f>
        <v>0.0</v>
      </c>
      <c r="L150" s="7">
        <f>J150*F150</f>
        <v>0.0</v>
      </c>
    </row>
    <row r="151" spans="1:12">
      <c r="A151" s="6" t="s">
        <v>368</v>
      </c>
      <c r="B151" s="6" t="s">
        <v>377</v>
      </c>
      <c r="C151" s="11" t="s">
        <v>378</v>
      </c>
      <c r="D151" s="6" t="s">
        <v>130</v>
      </c>
      <c r="E151" s="7">
        <v>47</v>
      </c>
      <c r="F151" s="7">
        <v>6151.06</v>
      </c>
      <c r="G151" s="7">
        <v>289099.82</v>
      </c>
      <c r="H151" s="10">
        <v>0</v>
      </c>
      <c r="I151" s="10">
        <v>0</v>
      </c>
      <c r="J151" s="7">
        <f>H151+I151</f>
        <v>0.0</v>
      </c>
      <c r="K151" s="7">
        <f>I151*F151</f>
        <v>0.0</v>
      </c>
      <c r="L151" s="7">
        <f>J151*F151</f>
        <v>0.0</v>
      </c>
    </row>
    <row r="152" spans="1:12">
      <c r="A152" s="6" t="s">
        <v>368</v>
      </c>
      <c r="B152" s="6" t="s">
        <v>379</v>
      </c>
      <c r="C152" s="11" t="s">
        <v>380</v>
      </c>
      <c r="D152" s="6" t="s">
        <v>130</v>
      </c>
      <c r="E152" s="7">
        <v>47</v>
      </c>
      <c r="F152" s="7">
        <v>2103.98</v>
      </c>
      <c r="G152" s="7">
        <v>98887.06</v>
      </c>
      <c r="H152" s="10">
        <v>0</v>
      </c>
      <c r="I152" s="10">
        <v>0</v>
      </c>
      <c r="J152" s="7">
        <f>H152+I152</f>
        <v>0.0</v>
      </c>
      <c r="K152" s="7">
        <f>I152*F152</f>
        <v>0.0</v>
      </c>
      <c r="L152" s="7">
        <f>J152*F152</f>
        <v>0.0</v>
      </c>
    </row>
    <row r="153" spans="1:12">
      <c r="A153" s="6" t="s">
        <v>368</v>
      </c>
      <c r="B153" s="6" t="s">
        <v>381</v>
      </c>
      <c r="C153" s="11" t="s">
        <v>382</v>
      </c>
      <c r="D153" s="6" t="s">
        <v>130</v>
      </c>
      <c r="E153" s="7">
        <v>345</v>
      </c>
      <c r="F153" s="7">
        <v>1110.93</v>
      </c>
      <c r="G153" s="7">
        <v>383270.85</v>
      </c>
      <c r="H153" s="10">
        <v>0</v>
      </c>
      <c r="I153" s="10">
        <v>0</v>
      </c>
      <c r="J153" s="7">
        <f>H153+I153</f>
        <v>0.0</v>
      </c>
      <c r="K153" s="7">
        <f>I153*F153</f>
        <v>0.0</v>
      </c>
      <c r="L153" s="7">
        <f>J153*F153</f>
        <v>0.0</v>
      </c>
    </row>
    <row r="154" spans="1:12">
      <c r="A154" s="6" t="s">
        <v>368</v>
      </c>
      <c r="B154" s="6" t="s">
        <v>383</v>
      </c>
      <c r="C154" s="11" t="s">
        <v>384</v>
      </c>
      <c r="D154" s="6" t="s">
        <v>130</v>
      </c>
      <c r="E154" s="7">
        <v>42</v>
      </c>
      <c r="F154" s="7">
        <v>1262.42</v>
      </c>
      <c r="G154" s="7">
        <v>53021.64</v>
      </c>
      <c r="H154" s="10">
        <v>0</v>
      </c>
      <c r="I154" s="10">
        <v>0</v>
      </c>
      <c r="J154" s="7">
        <f>H154+I154</f>
        <v>0.0</v>
      </c>
      <c r="K154" s="7">
        <f>I154*F154</f>
        <v>0.0</v>
      </c>
      <c r="L154" s="7">
        <f>J154*F154</f>
        <v>0.0</v>
      </c>
    </row>
    <row r="155" spans="1:12">
      <c r="A155" s="6" t="s">
        <v>368</v>
      </c>
      <c r="B155" s="6" t="s">
        <v>385</v>
      </c>
      <c r="C155" s="11" t="s">
        <v>386</v>
      </c>
      <c r="D155" s="6" t="s">
        <v>130</v>
      </c>
      <c r="E155" s="7">
        <v>1294</v>
      </c>
      <c r="F155" s="7">
        <v>4410.4</v>
      </c>
      <c r="G155" s="7">
        <v>5707057.6</v>
      </c>
      <c r="H155" s="10">
        <v>0</v>
      </c>
      <c r="I155" s="10">
        <v>0</v>
      </c>
      <c r="J155" s="7">
        <f>H155+I155</f>
        <v>0.0</v>
      </c>
      <c r="K155" s="7">
        <f>I155*F155</f>
        <v>0.0</v>
      </c>
      <c r="L155" s="7">
        <f>J155*F155</f>
        <v>0.0</v>
      </c>
    </row>
    <row r="156" spans="1:12">
      <c r="A156" s="6" t="s">
        <v>368</v>
      </c>
      <c r="B156" s="6" t="s">
        <v>387</v>
      </c>
      <c r="C156" s="11" t="s">
        <v>388</v>
      </c>
      <c r="D156" s="6" t="s">
        <v>130</v>
      </c>
      <c r="E156" s="7">
        <v>18</v>
      </c>
      <c r="F156" s="7">
        <v>1091.74</v>
      </c>
      <c r="G156" s="7">
        <v>19651.32</v>
      </c>
      <c r="H156" s="10">
        <v>0</v>
      </c>
      <c r="I156" s="10">
        <v>0</v>
      </c>
      <c r="J156" s="7">
        <f>H156+I156</f>
        <v>0.0</v>
      </c>
      <c r="K156" s="7">
        <f>I156*F156</f>
        <v>0.0</v>
      </c>
      <c r="L156" s="7">
        <f>J156*F156</f>
        <v>0.0</v>
      </c>
    </row>
    <row r="157" spans="1:12">
      <c r="A157" s="6" t="s">
        <v>368</v>
      </c>
      <c r="B157" s="6" t="s">
        <v>389</v>
      </c>
      <c r="C157" s="11" t="s">
        <v>390</v>
      </c>
      <c r="D157" s="6" t="s">
        <v>130</v>
      </c>
      <c r="E157" s="7">
        <v>6</v>
      </c>
      <c r="F157" s="7">
        <v>1428.37</v>
      </c>
      <c r="G157" s="7">
        <v>8570.219999999999</v>
      </c>
      <c r="H157" s="10">
        <v>0</v>
      </c>
      <c r="I157" s="10">
        <v>0</v>
      </c>
      <c r="J157" s="7">
        <f>H157+I157</f>
        <v>0.0</v>
      </c>
      <c r="K157" s="7">
        <f>I157*F157</f>
        <v>0.0</v>
      </c>
      <c r="L157" s="7">
        <f>J157*F157</f>
        <v>0.0</v>
      </c>
    </row>
    <row r="158" spans="1:12">
      <c r="A158" s="6" t="s">
        <v>368</v>
      </c>
      <c r="B158" s="6" t="s">
        <v>391</v>
      </c>
      <c r="C158" s="11" t="s">
        <v>392</v>
      </c>
      <c r="D158" s="6" t="s">
        <v>179</v>
      </c>
      <c r="E158" s="7">
        <v>31900</v>
      </c>
      <c r="F158" s="7">
        <v>1079.98</v>
      </c>
      <c r="G158" s="7">
        <v>34451362</v>
      </c>
      <c r="H158" s="10">
        <v>0</v>
      </c>
      <c r="I158" s="10">
        <v>0</v>
      </c>
      <c r="J158" s="7">
        <f>H158+I158</f>
        <v>0.0</v>
      </c>
      <c r="K158" s="7">
        <f>I158*F158</f>
        <v>0.0</v>
      </c>
      <c r="L158" s="7">
        <f>J158*F158</f>
        <v>0.0</v>
      </c>
    </row>
    <row r="159" spans="1:12">
      <c r="A159" s="6" t="s">
        <v>368</v>
      </c>
      <c r="B159" s="6" t="s">
        <v>393</v>
      </c>
      <c r="C159" s="11" t="s">
        <v>394</v>
      </c>
      <c r="D159" s="6" t="s">
        <v>179</v>
      </c>
      <c r="E159" s="7">
        <v>5840</v>
      </c>
      <c r="F159" s="7">
        <v>435.11</v>
      </c>
      <c r="G159" s="7">
        <v>2541042.4</v>
      </c>
      <c r="H159" s="10">
        <v>0</v>
      </c>
      <c r="I159" s="10">
        <v>0</v>
      </c>
      <c r="J159" s="7">
        <f>H159+I159</f>
        <v>0.0</v>
      </c>
      <c r="K159" s="7">
        <f>I159*F159</f>
        <v>0.0</v>
      </c>
      <c r="L159" s="7">
        <f>J159*F159</f>
        <v>0.0</v>
      </c>
    </row>
    <row r="160" spans="1:12">
      <c r="A160" s="6" t="s">
        <v>368</v>
      </c>
      <c r="B160" s="6" t="s">
        <v>395</v>
      </c>
      <c r="C160" s="11" t="s">
        <v>396</v>
      </c>
      <c r="D160" s="6" t="s">
        <v>179</v>
      </c>
      <c r="E160" s="7">
        <v>14895</v>
      </c>
      <c r="F160" s="7">
        <v>265.19</v>
      </c>
      <c r="G160" s="7">
        <v>3950005.05</v>
      </c>
      <c r="H160" s="10">
        <v>0</v>
      </c>
      <c r="I160" s="10">
        <v>0</v>
      </c>
      <c r="J160" s="7">
        <f>H160+I160</f>
        <v>0.0</v>
      </c>
      <c r="K160" s="7">
        <f>I160*F160</f>
        <v>0.0</v>
      </c>
      <c r="L160" s="7">
        <f>J160*F160</f>
        <v>0.0</v>
      </c>
    </row>
    <row r="161" spans="1:12">
      <c r="A161" s="6" t="s">
        <v>368</v>
      </c>
      <c r="B161" s="6" t="s">
        <v>397</v>
      </c>
      <c r="C161" s="11" t="s">
        <v>398</v>
      </c>
      <c r="D161" s="6" t="s">
        <v>179</v>
      </c>
      <c r="E161" s="7">
        <v>15845</v>
      </c>
      <c r="F161" s="7">
        <v>595.27</v>
      </c>
      <c r="G161" s="7">
        <v>9432053.15</v>
      </c>
      <c r="H161" s="10">
        <v>0</v>
      </c>
      <c r="I161" s="10">
        <v>0</v>
      </c>
      <c r="J161" s="7">
        <f>H161+I161</f>
        <v>0.0</v>
      </c>
      <c r="K161" s="7">
        <f>I161*F161</f>
        <v>0.0</v>
      </c>
      <c r="L161" s="7">
        <f>J161*F161</f>
        <v>0.0</v>
      </c>
    </row>
    <row r="162" spans="1:12">
      <c r="A162" s="6" t="s">
        <v>368</v>
      </c>
      <c r="B162" s="6" t="s">
        <v>399</v>
      </c>
      <c r="C162" s="11" t="s">
        <v>400</v>
      </c>
      <c r="D162" s="6" t="s">
        <v>179</v>
      </c>
      <c r="E162" s="7">
        <v>15405</v>
      </c>
      <c r="F162" s="7">
        <v>570.28</v>
      </c>
      <c r="G162" s="7">
        <v>8785163.4</v>
      </c>
      <c r="H162" s="10">
        <v>0</v>
      </c>
      <c r="I162" s="10">
        <v>1483.58</v>
      </c>
      <c r="J162" s="7">
        <f>H162+I162</f>
        <v>1483.58</v>
      </c>
      <c r="K162" s="7">
        <f>I162*F162</f>
        <v>846056.0023999999</v>
      </c>
      <c r="L162" s="7">
        <f>J162*F162</f>
        <v>846056.0023999999</v>
      </c>
    </row>
    <row r="163" spans="1:12">
      <c r="A163" s="6" t="s">
        <v>368</v>
      </c>
      <c r="B163" s="6" t="s">
        <v>401</v>
      </c>
      <c r="C163" s="11" t="s">
        <v>402</v>
      </c>
      <c r="D163" s="6" t="s">
        <v>179</v>
      </c>
      <c r="E163" s="7">
        <v>54170</v>
      </c>
      <c r="F163" s="7">
        <v>570.28</v>
      </c>
      <c r="G163" s="7">
        <v>30892067.6</v>
      </c>
      <c r="H163" s="10">
        <v>0</v>
      </c>
      <c r="I163" s="10">
        <v>1566.7</v>
      </c>
      <c r="J163" s="7">
        <f>H163+I163</f>
        <v>1566.7</v>
      </c>
      <c r="K163" s="7">
        <f>I163*F163</f>
        <v>893457.676</v>
      </c>
      <c r="L163" s="7">
        <f>J163*F163</f>
        <v>893457.676</v>
      </c>
    </row>
    <row r="164" spans="1:12">
      <c r="A164" s="6" t="s">
        <v>368</v>
      </c>
      <c r="B164" s="6" t="s">
        <v>403</v>
      </c>
      <c r="C164" s="11" t="s">
        <v>404</v>
      </c>
      <c r="D164" s="6" t="s">
        <v>179</v>
      </c>
      <c r="E164" s="7">
        <v>31890</v>
      </c>
      <c r="F164" s="7">
        <v>996.05</v>
      </c>
      <c r="G164" s="7">
        <v>31764034.5</v>
      </c>
      <c r="H164" s="10">
        <v>0</v>
      </c>
      <c r="I164" s="10">
        <v>0</v>
      </c>
      <c r="J164" s="7">
        <f>H164+I164</f>
        <v>0.0</v>
      </c>
      <c r="K164" s="7">
        <f>I164*F164</f>
        <v>0.0</v>
      </c>
      <c r="L164" s="7">
        <f>J164*F164</f>
        <v>0.0</v>
      </c>
    </row>
    <row r="165" spans="1:12">
      <c r="A165" s="6" t="s">
        <v>368</v>
      </c>
      <c r="B165" s="6" t="s">
        <v>405</v>
      </c>
      <c r="C165" s="11" t="s">
        <v>406</v>
      </c>
      <c r="D165" s="6" t="s">
        <v>179</v>
      </c>
      <c r="E165" s="7">
        <v>32635</v>
      </c>
      <c r="F165" s="7">
        <v>1088.42</v>
      </c>
      <c r="G165" s="7">
        <v>35520586.7</v>
      </c>
      <c r="H165" s="10">
        <v>0</v>
      </c>
      <c r="I165" s="10">
        <v>0</v>
      </c>
      <c r="J165" s="7">
        <f>H165+I165</f>
        <v>0.0</v>
      </c>
      <c r="K165" s="7">
        <f>I165*F165</f>
        <v>0.0</v>
      </c>
      <c r="L165" s="7">
        <f>J165*F165</f>
        <v>0.0</v>
      </c>
    </row>
    <row r="166" spans="1:12">
      <c r="A166" s="6" t="s">
        <v>368</v>
      </c>
      <c r="B166" s="6" t="s">
        <v>407</v>
      </c>
      <c r="C166" s="11" t="s">
        <v>408</v>
      </c>
      <c r="D166" s="6" t="s">
        <v>179</v>
      </c>
      <c r="E166" s="7">
        <v>9053</v>
      </c>
      <c r="F166" s="7">
        <v>469.12</v>
      </c>
      <c r="G166" s="7">
        <v>4246943.36</v>
      </c>
      <c r="H166" s="10">
        <v>0</v>
      </c>
      <c r="I166" s="10">
        <v>0</v>
      </c>
      <c r="J166" s="7">
        <f>H166+I166</f>
        <v>0.0</v>
      </c>
      <c r="K166" s="7">
        <f>I166*F166</f>
        <v>0.0</v>
      </c>
      <c r="L166" s="7">
        <f>J166*F166</f>
        <v>0.0</v>
      </c>
    </row>
    <row r="167" spans="1:12">
      <c r="A167" s="6" t="s">
        <v>368</v>
      </c>
      <c r="B167" s="6" t="s">
        <v>409</v>
      </c>
      <c r="C167" s="11" t="s">
        <v>410</v>
      </c>
      <c r="D167" s="6" t="s">
        <v>179</v>
      </c>
      <c r="E167" s="7">
        <v>31900</v>
      </c>
      <c r="F167" s="7">
        <v>711.03</v>
      </c>
      <c r="G167" s="7">
        <v>22681857</v>
      </c>
      <c r="H167" s="10">
        <v>0</v>
      </c>
      <c r="I167" s="10">
        <v>0</v>
      </c>
      <c r="J167" s="7">
        <f>H167+I167</f>
        <v>0.0</v>
      </c>
      <c r="K167" s="7">
        <f>I167*F167</f>
        <v>0.0</v>
      </c>
      <c r="L167" s="7">
        <f>J167*F167</f>
        <v>0.0</v>
      </c>
    </row>
    <row r="168" spans="1:12">
      <c r="A168" s="6" t="s">
        <v>368</v>
      </c>
      <c r="B168" s="6" t="s">
        <v>411</v>
      </c>
      <c r="C168" s="11" t="s">
        <v>412</v>
      </c>
      <c r="D168" s="6" t="s">
        <v>130</v>
      </c>
      <c r="E168" s="7">
        <v>809</v>
      </c>
      <c r="F168" s="7">
        <v>15220.66</v>
      </c>
      <c r="G168" s="7">
        <v>12313513.94</v>
      </c>
      <c r="H168" s="10">
        <v>0</v>
      </c>
      <c r="I168" s="10">
        <v>0</v>
      </c>
      <c r="J168" s="7">
        <f>H168+I168</f>
        <v>0.0</v>
      </c>
      <c r="K168" s="7">
        <f>I168*F168</f>
        <v>0.0</v>
      </c>
      <c r="L168" s="7">
        <f>J168*F168</f>
        <v>0.0</v>
      </c>
    </row>
    <row r="169" spans="1:12">
      <c r="A169" s="6" t="s">
        <v>368</v>
      </c>
      <c r="B169" s="6" t="s">
        <v>413</v>
      </c>
      <c r="C169" s="11" t="s">
        <v>414</v>
      </c>
      <c r="D169" s="6" t="s">
        <v>130</v>
      </c>
      <c r="E169" s="7">
        <v>1308</v>
      </c>
      <c r="F169" s="7">
        <v>15220.66</v>
      </c>
      <c r="G169" s="7">
        <v>19908623.28</v>
      </c>
      <c r="H169" s="10">
        <v>0</v>
      </c>
      <c r="I169" s="10">
        <v>0</v>
      </c>
      <c r="J169" s="7">
        <f>H169+I169</f>
        <v>0.0</v>
      </c>
      <c r="K169" s="7">
        <f>I169*F169</f>
        <v>0.0</v>
      </c>
      <c r="L169" s="7">
        <f>J169*F169</f>
        <v>0.0</v>
      </c>
    </row>
    <row r="170" spans="1:12">
      <c r="A170" s="6" t="s">
        <v>368</v>
      </c>
      <c r="B170" s="6" t="s">
        <v>415</v>
      </c>
      <c r="C170" s="11" t="s">
        <v>416</v>
      </c>
      <c r="D170" s="6" t="s">
        <v>130</v>
      </c>
      <c r="E170" s="7">
        <v>223</v>
      </c>
      <c r="F170" s="7">
        <v>19143.15</v>
      </c>
      <c r="G170" s="7">
        <v>4268922.45</v>
      </c>
      <c r="H170" s="10">
        <v>0</v>
      </c>
      <c r="I170" s="10">
        <v>0</v>
      </c>
      <c r="J170" s="7">
        <f>H170+I170</f>
        <v>0.0</v>
      </c>
      <c r="K170" s="7">
        <f>I170*F170</f>
        <v>0.0</v>
      </c>
      <c r="L170" s="7">
        <f>J170*F170</f>
        <v>0.0</v>
      </c>
    </row>
    <row r="171" spans="1:12">
      <c r="A171" s="6" t="s">
        <v>368</v>
      </c>
      <c r="B171" s="6" t="s">
        <v>417</v>
      </c>
      <c r="C171" s="11" t="s">
        <v>418</v>
      </c>
      <c r="D171" s="6" t="s">
        <v>130</v>
      </c>
      <c r="E171" s="7">
        <v>44</v>
      </c>
      <c r="F171" s="7">
        <v>22972.8</v>
      </c>
      <c r="G171" s="7">
        <v>1010803.2</v>
      </c>
      <c r="H171" s="10">
        <v>0</v>
      </c>
      <c r="I171" s="10">
        <v>0</v>
      </c>
      <c r="J171" s="7">
        <f>H171+I171</f>
        <v>0.0</v>
      </c>
      <c r="K171" s="7">
        <f>I171*F171</f>
        <v>0.0</v>
      </c>
      <c r="L171" s="7">
        <f>J171*F171</f>
        <v>0.0</v>
      </c>
    </row>
    <row r="172" spans="1:12">
      <c r="A172" s="6" t="s">
        <v>368</v>
      </c>
      <c r="B172" s="6" t="s">
        <v>419</v>
      </c>
      <c r="C172" s="11" t="s">
        <v>420</v>
      </c>
      <c r="D172" s="6" t="s">
        <v>130</v>
      </c>
      <c r="E172" s="7">
        <v>72</v>
      </c>
      <c r="F172" s="7">
        <v>14770.41</v>
      </c>
      <c r="G172" s="7">
        <v>1063469.52</v>
      </c>
      <c r="H172" s="10">
        <v>0</v>
      </c>
      <c r="I172" s="10">
        <v>0</v>
      </c>
      <c r="J172" s="7">
        <f>H172+I172</f>
        <v>0.0</v>
      </c>
      <c r="K172" s="7">
        <f>I172*F172</f>
        <v>0.0</v>
      </c>
      <c r="L172" s="7">
        <f>J172*F172</f>
        <v>0.0</v>
      </c>
    </row>
    <row r="173" spans="1:12">
      <c r="A173" s="6" t="s">
        <v>368</v>
      </c>
      <c r="B173" s="6" t="s">
        <v>421</v>
      </c>
      <c r="C173" s="11" t="s">
        <v>422</v>
      </c>
      <c r="D173" s="6" t="s">
        <v>130</v>
      </c>
      <c r="E173" s="7">
        <v>14</v>
      </c>
      <c r="F173" s="7">
        <v>47344.68</v>
      </c>
      <c r="G173" s="7">
        <v>662825.52</v>
      </c>
      <c r="H173" s="10">
        <v>0</v>
      </c>
      <c r="I173" s="10">
        <v>0</v>
      </c>
      <c r="J173" s="7">
        <f>H173+I173</f>
        <v>0.0</v>
      </c>
      <c r="K173" s="7">
        <f>I173*F173</f>
        <v>0.0</v>
      </c>
      <c r="L173" s="7">
        <f>J173*F173</f>
        <v>0.0</v>
      </c>
    </row>
    <row r="174" spans="1:12">
      <c r="A174" s="6" t="s">
        <v>368</v>
      </c>
      <c r="B174" s="6" t="s">
        <v>423</v>
      </c>
      <c r="C174" s="11" t="s">
        <v>424</v>
      </c>
      <c r="D174" s="6" t="s">
        <v>130</v>
      </c>
      <c r="E174" s="7">
        <v>6</v>
      </c>
      <c r="F174" s="7">
        <v>50090.68</v>
      </c>
      <c r="G174" s="7">
        <v>300544.08</v>
      </c>
      <c r="H174" s="10">
        <v>0</v>
      </c>
      <c r="I174" s="10">
        <v>0</v>
      </c>
      <c r="J174" s="7">
        <f>H174+I174</f>
        <v>0.0</v>
      </c>
      <c r="K174" s="7">
        <f>I174*F174</f>
        <v>0.0</v>
      </c>
      <c r="L174" s="7">
        <f>J174*F174</f>
        <v>0.0</v>
      </c>
    </row>
    <row r="175" spans="1:12">
      <c r="A175" s="6" t="s">
        <v>368</v>
      </c>
      <c r="B175" s="6" t="s">
        <v>425</v>
      </c>
      <c r="C175" s="11" t="s">
        <v>426</v>
      </c>
      <c r="D175" s="6" t="s">
        <v>130</v>
      </c>
      <c r="E175" s="7">
        <v>6</v>
      </c>
      <c r="F175" s="7">
        <v>37216.65</v>
      </c>
      <c r="G175" s="7">
        <v>223299.9</v>
      </c>
      <c r="H175" s="10">
        <v>0</v>
      </c>
      <c r="I175" s="10">
        <v>0</v>
      </c>
      <c r="J175" s="7">
        <f>H175+I175</f>
        <v>0.0</v>
      </c>
      <c r="K175" s="7">
        <f>I175*F175</f>
        <v>0.0</v>
      </c>
      <c r="L175" s="7">
        <f>J175*F175</f>
        <v>0.0</v>
      </c>
    </row>
    <row r="176" spans="1:12">
      <c r="A176" s="6" t="s">
        <v>368</v>
      </c>
      <c r="B176" s="6" t="s">
        <v>427</v>
      </c>
      <c r="C176" s="11" t="s">
        <v>428</v>
      </c>
      <c r="D176" s="6" t="s">
        <v>130</v>
      </c>
      <c r="E176" s="7">
        <v>2</v>
      </c>
      <c r="F176" s="7">
        <v>78504.61</v>
      </c>
      <c r="G176" s="7">
        <v>157009.22</v>
      </c>
      <c r="H176" s="10">
        <v>0</v>
      </c>
      <c r="I176" s="10">
        <v>0</v>
      </c>
      <c r="J176" s="7">
        <f>H176+I176</f>
        <v>0.0</v>
      </c>
      <c r="K176" s="7">
        <f>I176*F176</f>
        <v>0.0</v>
      </c>
      <c r="L176" s="7">
        <f>J176*F176</f>
        <v>0.0</v>
      </c>
    </row>
    <row r="177" spans="1:12">
      <c r="A177" s="6" t="s">
        <v>368</v>
      </c>
      <c r="B177" s="6" t="s">
        <v>429</v>
      </c>
      <c r="C177" s="11" t="s">
        <v>430</v>
      </c>
      <c r="D177" s="6" t="s">
        <v>130</v>
      </c>
      <c r="E177" s="7">
        <v>1</v>
      </c>
      <c r="F177" s="7">
        <v>557729.78</v>
      </c>
      <c r="G177" s="7">
        <v>557729.78</v>
      </c>
      <c r="H177" s="10">
        <v>0</v>
      </c>
      <c r="I177" s="10">
        <v>0</v>
      </c>
      <c r="J177" s="7">
        <f>H177+I177</f>
        <v>0.0</v>
      </c>
      <c r="K177" s="7">
        <f>I177*F177</f>
        <v>0.0</v>
      </c>
      <c r="L177" s="7">
        <f>J177*F177</f>
        <v>0.0</v>
      </c>
    </row>
    <row r="178" spans="1:12">
      <c r="A178" s="6" t="s">
        <v>368</v>
      </c>
      <c r="B178" s="6" t="s">
        <v>431</v>
      </c>
      <c r="C178" s="11" t="s">
        <v>432</v>
      </c>
      <c r="D178" s="6" t="s">
        <v>130</v>
      </c>
      <c r="E178" s="7">
        <v>1</v>
      </c>
      <c r="F178" s="7">
        <v>4911.49</v>
      </c>
      <c r="G178" s="7">
        <v>4911.49</v>
      </c>
      <c r="H178" s="10">
        <v>0</v>
      </c>
      <c r="I178" s="10">
        <v>0</v>
      </c>
      <c r="J178" s="7">
        <f>H178+I178</f>
        <v>0.0</v>
      </c>
      <c r="K178" s="7">
        <f>I178*F178</f>
        <v>0.0</v>
      </c>
      <c r="L178" s="7">
        <f>J178*F178</f>
        <v>0.0</v>
      </c>
    </row>
    <row r="179" spans="1:12">
      <c r="A179" s="6" t="s">
        <v>368</v>
      </c>
      <c r="B179" s="6" t="s">
        <v>433</v>
      </c>
      <c r="C179" s="11" t="s">
        <v>434</v>
      </c>
      <c r="D179" s="6" t="s">
        <v>130</v>
      </c>
      <c r="E179" s="7">
        <v>6</v>
      </c>
      <c r="F179" s="7">
        <v>636644.14</v>
      </c>
      <c r="G179" s="7">
        <v>3819864.84</v>
      </c>
      <c r="H179" s="10">
        <v>0</v>
      </c>
      <c r="I179" s="10">
        <v>0</v>
      </c>
      <c r="J179" s="7">
        <f>H179+I179</f>
        <v>0.0</v>
      </c>
      <c r="K179" s="7">
        <f>I179*F179</f>
        <v>0.0</v>
      </c>
      <c r="L179" s="7">
        <f>J179*F179</f>
        <v>0.0</v>
      </c>
    </row>
    <row r="180" spans="1:12">
      <c r="A180" s="6" t="s">
        <v>368</v>
      </c>
      <c r="B180" s="6" t="s">
        <v>435</v>
      </c>
      <c r="C180" s="11" t="s">
        <v>432</v>
      </c>
      <c r="D180" s="6" t="s">
        <v>130</v>
      </c>
      <c r="E180" s="7">
        <v>6</v>
      </c>
      <c r="F180" s="7">
        <v>7016.41</v>
      </c>
      <c r="G180" s="7">
        <v>42098.46</v>
      </c>
      <c r="H180" s="10">
        <v>0</v>
      </c>
      <c r="I180" s="10">
        <v>0</v>
      </c>
      <c r="J180" s="7">
        <f>H180+I180</f>
        <v>0.0</v>
      </c>
      <c r="K180" s="7">
        <f>I180*F180</f>
        <v>0.0</v>
      </c>
      <c r="L180" s="7">
        <f>J180*F180</f>
        <v>0.0</v>
      </c>
    </row>
    <row r="181" spans="1:12">
      <c r="A181" s="6" t="s">
        <v>368</v>
      </c>
      <c r="B181" s="6" t="s">
        <v>436</v>
      </c>
      <c r="C181" s="11" t="s">
        <v>437</v>
      </c>
      <c r="D181" s="6" t="s">
        <v>130</v>
      </c>
      <c r="E181" s="7">
        <v>24</v>
      </c>
      <c r="F181" s="7">
        <v>37871.98</v>
      </c>
      <c r="G181" s="7">
        <v>908927.52</v>
      </c>
      <c r="H181" s="10">
        <v>0</v>
      </c>
      <c r="I181" s="10">
        <v>0</v>
      </c>
      <c r="J181" s="7">
        <f>H181+I181</f>
        <v>0.0</v>
      </c>
      <c r="K181" s="7">
        <f>I181*F181</f>
        <v>0.0</v>
      </c>
      <c r="L181" s="7">
        <f>J181*F181</f>
        <v>0.0</v>
      </c>
    </row>
    <row r="182" spans="1:12">
      <c r="A182" s="6" t="s">
        <v>368</v>
      </c>
      <c r="B182" s="6" t="s">
        <v>438</v>
      </c>
      <c r="C182" s="11" t="s">
        <v>439</v>
      </c>
      <c r="D182" s="6" t="s">
        <v>130</v>
      </c>
      <c r="E182" s="7">
        <v>32</v>
      </c>
      <c r="F182" s="7">
        <v>279.81</v>
      </c>
      <c r="G182" s="7">
        <v>8953.92</v>
      </c>
      <c r="H182" s="10">
        <v>0</v>
      </c>
      <c r="I182" s="10">
        <v>0</v>
      </c>
      <c r="J182" s="7">
        <f>H182+I182</f>
        <v>0.0</v>
      </c>
      <c r="K182" s="7">
        <f>I182*F182</f>
        <v>0.0</v>
      </c>
      <c r="L182" s="7">
        <f>J182*F182</f>
        <v>0.0</v>
      </c>
    </row>
    <row r="183" spans="1:12">
      <c r="A183" s="6" t="s">
        <v>368</v>
      </c>
      <c r="B183" s="6" t="s">
        <v>440</v>
      </c>
      <c r="C183" s="11" t="s">
        <v>441</v>
      </c>
      <c r="D183" s="6" t="s">
        <v>130</v>
      </c>
      <c r="E183" s="7">
        <v>2</v>
      </c>
      <c r="F183" s="7">
        <v>210399.81</v>
      </c>
      <c r="G183" s="7">
        <v>420799.62</v>
      </c>
      <c r="H183" s="10">
        <v>0</v>
      </c>
      <c r="I183" s="10">
        <v>0</v>
      </c>
      <c r="J183" s="7">
        <f>H183+I183</f>
        <v>0.0</v>
      </c>
      <c r="K183" s="7">
        <f>I183*F183</f>
        <v>0.0</v>
      </c>
      <c r="L183" s="7">
        <f>J183*F183</f>
        <v>0.0</v>
      </c>
    </row>
    <row r="184" spans="1:12">
      <c r="A184" s="6" t="s">
        <v>368</v>
      </c>
      <c r="B184" s="6" t="s">
        <v>442</v>
      </c>
      <c r="C184" s="11" t="s">
        <v>443</v>
      </c>
      <c r="D184" s="6" t="s">
        <v>130</v>
      </c>
      <c r="E184" s="7">
        <v>2</v>
      </c>
      <c r="F184" s="7">
        <v>37871.98</v>
      </c>
      <c r="G184" s="7">
        <v>75743.96000000001</v>
      </c>
      <c r="H184" s="10">
        <v>0</v>
      </c>
      <c r="I184" s="10">
        <v>0</v>
      </c>
      <c r="J184" s="7">
        <f>H184+I184</f>
        <v>0.0</v>
      </c>
      <c r="K184" s="7">
        <f>I184*F184</f>
        <v>0.0</v>
      </c>
      <c r="L184" s="7">
        <f>J184*F184</f>
        <v>0.0</v>
      </c>
    </row>
    <row r="185" spans="1:12">
      <c r="A185" s="6" t="s">
        <v>368</v>
      </c>
      <c r="B185" s="6" t="s">
        <v>444</v>
      </c>
      <c r="C185" s="11" t="s">
        <v>445</v>
      </c>
      <c r="D185" s="6" t="s">
        <v>130</v>
      </c>
      <c r="E185" s="7">
        <v>2</v>
      </c>
      <c r="F185" s="7">
        <v>12298.34</v>
      </c>
      <c r="G185" s="7">
        <v>24596.68</v>
      </c>
      <c r="H185" s="10">
        <v>0</v>
      </c>
      <c r="I185" s="10">
        <v>0</v>
      </c>
      <c r="J185" s="7">
        <f>H185+I185</f>
        <v>0.0</v>
      </c>
      <c r="K185" s="7">
        <f>I185*F185</f>
        <v>0.0</v>
      </c>
      <c r="L185" s="7">
        <f>J185*F185</f>
        <v>0.0</v>
      </c>
    </row>
    <row r="186" spans="1:12">
      <c r="A186" s="6" t="s">
        <v>368</v>
      </c>
      <c r="B186" s="6" t="s">
        <v>446</v>
      </c>
      <c r="C186" s="11" t="s">
        <v>447</v>
      </c>
      <c r="D186" s="6" t="s">
        <v>179</v>
      </c>
      <c r="E186" s="7">
        <v>4788</v>
      </c>
      <c r="F186" s="7">
        <v>1241.21</v>
      </c>
      <c r="G186" s="7">
        <v>5942913.48</v>
      </c>
      <c r="H186" s="10">
        <v>0</v>
      </c>
      <c r="I186" s="10">
        <v>0</v>
      </c>
      <c r="J186" s="7">
        <f>H186+I186</f>
        <v>0.0</v>
      </c>
      <c r="K186" s="7">
        <f>I186*F186</f>
        <v>0.0</v>
      </c>
      <c r="L186" s="7">
        <f>J186*F186</f>
        <v>0.0</v>
      </c>
    </row>
    <row r="187" spans="1:12">
      <c r="A187" s="6" t="s">
        <v>368</v>
      </c>
      <c r="B187" s="6" t="s">
        <v>448</v>
      </c>
      <c r="C187" s="11" t="s">
        <v>449</v>
      </c>
      <c r="D187" s="6" t="s">
        <v>179</v>
      </c>
      <c r="E187" s="7">
        <v>2936</v>
      </c>
      <c r="F187" s="7">
        <v>959.1</v>
      </c>
      <c r="G187" s="7">
        <v>2815917.6</v>
      </c>
      <c r="H187" s="10">
        <v>0</v>
      </c>
      <c r="I187" s="10">
        <v>0</v>
      </c>
      <c r="J187" s="7">
        <f>H187+I187</f>
        <v>0.0</v>
      </c>
      <c r="K187" s="7">
        <f>I187*F187</f>
        <v>0.0</v>
      </c>
      <c r="L187" s="7">
        <f>J187*F187</f>
        <v>0.0</v>
      </c>
    </row>
    <row r="188" spans="1:12">
      <c r="A188" s="6" t="s">
        <v>368</v>
      </c>
      <c r="B188" s="6" t="s">
        <v>450</v>
      </c>
      <c r="C188" s="11" t="s">
        <v>451</v>
      </c>
      <c r="D188" s="6" t="s">
        <v>179</v>
      </c>
      <c r="E188" s="7">
        <v>3452</v>
      </c>
      <c r="F188" s="7">
        <v>794.52</v>
      </c>
      <c r="G188" s="7">
        <v>2742683.04</v>
      </c>
      <c r="H188" s="10">
        <v>0</v>
      </c>
      <c r="I188" s="10">
        <v>0</v>
      </c>
      <c r="J188" s="7">
        <f>H188+I188</f>
        <v>0.0</v>
      </c>
      <c r="K188" s="7">
        <f>I188*F188</f>
        <v>0.0</v>
      </c>
      <c r="L188" s="7">
        <f>J188*F188</f>
        <v>0.0</v>
      </c>
    </row>
    <row r="189" spans="1:12">
      <c r="A189" s="6" t="s">
        <v>368</v>
      </c>
      <c r="B189" s="6" t="s">
        <v>452</v>
      </c>
      <c r="C189" s="11" t="s">
        <v>453</v>
      </c>
      <c r="D189" s="6" t="s">
        <v>179</v>
      </c>
      <c r="E189" s="7">
        <v>1552</v>
      </c>
      <c r="F189" s="7">
        <v>636.59</v>
      </c>
      <c r="G189" s="7">
        <v>987987.6800000001</v>
      </c>
      <c r="H189" s="10">
        <v>0</v>
      </c>
      <c r="I189" s="10">
        <v>0</v>
      </c>
      <c r="J189" s="7">
        <f>H189+I189</f>
        <v>0.0</v>
      </c>
      <c r="K189" s="7">
        <f>I189*F189</f>
        <v>0.0</v>
      </c>
      <c r="L189" s="7">
        <f>J189*F189</f>
        <v>0.0</v>
      </c>
    </row>
    <row r="190" spans="1:12">
      <c r="A190" s="6" t="s">
        <v>368</v>
      </c>
      <c r="B190" s="6" t="s">
        <v>454</v>
      </c>
      <c r="C190" s="11" t="s">
        <v>455</v>
      </c>
      <c r="D190" s="6" t="s">
        <v>179</v>
      </c>
      <c r="E190" s="7">
        <v>4129</v>
      </c>
      <c r="F190" s="7">
        <v>501.08</v>
      </c>
      <c r="G190" s="7">
        <v>2068959.32</v>
      </c>
      <c r="H190" s="10">
        <v>0</v>
      </c>
      <c r="I190" s="10">
        <v>0</v>
      </c>
      <c r="J190" s="7">
        <f>H190+I190</f>
        <v>0.0</v>
      </c>
      <c r="K190" s="7">
        <f>I190*F190</f>
        <v>0.0</v>
      </c>
      <c r="L190" s="7">
        <f>J190*F190</f>
        <v>0.0</v>
      </c>
    </row>
    <row r="191" spans="1:12">
      <c r="A191" s="6" t="s">
        <v>368</v>
      </c>
      <c r="B191" s="6" t="s">
        <v>456</v>
      </c>
      <c r="C191" s="11" t="s">
        <v>457</v>
      </c>
      <c r="D191" s="6" t="s">
        <v>179</v>
      </c>
      <c r="E191" s="7">
        <v>2474</v>
      </c>
      <c r="F191" s="7">
        <v>365.17</v>
      </c>
      <c r="G191" s="7">
        <v>903430.58</v>
      </c>
      <c r="H191" s="10">
        <v>0</v>
      </c>
      <c r="I191" s="10">
        <v>0</v>
      </c>
      <c r="J191" s="7">
        <f>H191+I191</f>
        <v>0.0</v>
      </c>
      <c r="K191" s="7">
        <f>I191*F191</f>
        <v>0.0</v>
      </c>
      <c r="L191" s="7">
        <f>J191*F191</f>
        <v>0.0</v>
      </c>
    </row>
    <row r="192" spans="1:12">
      <c r="A192" s="6" t="s">
        <v>368</v>
      </c>
      <c r="B192" s="6" t="s">
        <v>458</v>
      </c>
      <c r="C192" s="11" t="s">
        <v>459</v>
      </c>
      <c r="D192" s="6" t="s">
        <v>179</v>
      </c>
      <c r="E192" s="7">
        <v>3873</v>
      </c>
      <c r="F192" s="7">
        <v>257.08</v>
      </c>
      <c r="G192" s="7">
        <v>995670.84</v>
      </c>
      <c r="H192" s="10">
        <v>0</v>
      </c>
      <c r="I192" s="10">
        <v>0</v>
      </c>
      <c r="J192" s="7">
        <f>H192+I192</f>
        <v>0.0</v>
      </c>
      <c r="K192" s="7">
        <f>I192*F192</f>
        <v>0.0</v>
      </c>
      <c r="L192" s="7">
        <f>J192*F192</f>
        <v>0.0</v>
      </c>
    </row>
    <row r="193" spans="1:12">
      <c r="A193" s="6" t="s">
        <v>368</v>
      </c>
      <c r="B193" s="6" t="s">
        <v>460</v>
      </c>
      <c r="C193" s="11" t="s">
        <v>461</v>
      </c>
      <c r="D193" s="6" t="s">
        <v>179</v>
      </c>
      <c r="E193" s="7">
        <v>8108</v>
      </c>
      <c r="F193" s="7">
        <v>189.99</v>
      </c>
      <c r="G193" s="7">
        <v>1540438.92</v>
      </c>
      <c r="H193" s="10">
        <v>0</v>
      </c>
      <c r="I193" s="10">
        <v>0</v>
      </c>
      <c r="J193" s="7">
        <f>H193+I193</f>
        <v>0.0</v>
      </c>
      <c r="K193" s="7">
        <f>I193*F193</f>
        <v>0.0</v>
      </c>
      <c r="L193" s="7">
        <f>J193*F193</f>
        <v>0.0</v>
      </c>
    </row>
    <row r="194" spans="1:12">
      <c r="A194" s="6" t="s">
        <v>368</v>
      </c>
      <c r="B194" s="6" t="s">
        <v>462</v>
      </c>
      <c r="C194" s="11" t="s">
        <v>463</v>
      </c>
      <c r="D194" s="6" t="s">
        <v>179</v>
      </c>
      <c r="E194" s="7">
        <v>5438</v>
      </c>
      <c r="F194" s="7">
        <v>145.91</v>
      </c>
      <c r="G194" s="7">
        <v>793458.58</v>
      </c>
      <c r="H194" s="10">
        <v>0</v>
      </c>
      <c r="I194" s="10">
        <v>0</v>
      </c>
      <c r="J194" s="7">
        <f>H194+I194</f>
        <v>0.0</v>
      </c>
      <c r="K194" s="7">
        <f>I194*F194</f>
        <v>0.0</v>
      </c>
      <c r="L194" s="7">
        <f>J194*F194</f>
        <v>0.0</v>
      </c>
    </row>
    <row r="195" spans="1:12">
      <c r="A195" s="6" t="s">
        <v>368</v>
      </c>
      <c r="B195" s="6" t="s">
        <v>464</v>
      </c>
      <c r="C195" s="11" t="s">
        <v>465</v>
      </c>
      <c r="D195" s="6" t="s">
        <v>179</v>
      </c>
      <c r="E195" s="7">
        <v>16244</v>
      </c>
      <c r="F195" s="7">
        <v>95.34</v>
      </c>
      <c r="G195" s="7">
        <v>1548702.96</v>
      </c>
      <c r="H195" s="10">
        <v>0</v>
      </c>
      <c r="I195" s="10">
        <v>0</v>
      </c>
      <c r="J195" s="7">
        <f>H195+I195</f>
        <v>0.0</v>
      </c>
      <c r="K195" s="7">
        <f>I195*F195</f>
        <v>0.0</v>
      </c>
      <c r="L195" s="7">
        <f>J195*F195</f>
        <v>0.0</v>
      </c>
    </row>
    <row r="196" spans="1:12">
      <c r="A196" s="6" t="s">
        <v>368</v>
      </c>
      <c r="B196" s="6" t="s">
        <v>466</v>
      </c>
      <c r="C196" s="11" t="s">
        <v>467</v>
      </c>
      <c r="D196" s="6" t="s">
        <v>179</v>
      </c>
      <c r="E196" s="7">
        <v>17609</v>
      </c>
      <c r="F196" s="7">
        <v>278.07</v>
      </c>
      <c r="G196" s="7">
        <v>4896534.63</v>
      </c>
      <c r="H196" s="10">
        <v>0</v>
      </c>
      <c r="I196" s="10">
        <v>0</v>
      </c>
      <c r="J196" s="7">
        <f>H196+I196</f>
        <v>0.0</v>
      </c>
      <c r="K196" s="7">
        <f>I196*F196</f>
        <v>0.0</v>
      </c>
      <c r="L196" s="7">
        <f>J196*F196</f>
        <v>0.0</v>
      </c>
    </row>
    <row r="197" spans="1:12">
      <c r="A197" s="6" t="s">
        <v>368</v>
      </c>
      <c r="B197" s="6" t="s">
        <v>468</v>
      </c>
      <c r="C197" s="11" t="s">
        <v>469</v>
      </c>
      <c r="D197" s="6" t="s">
        <v>179</v>
      </c>
      <c r="E197" s="7">
        <v>27</v>
      </c>
      <c r="F197" s="7">
        <v>209.22</v>
      </c>
      <c r="G197" s="7">
        <v>5648.94</v>
      </c>
      <c r="H197" s="10">
        <v>0</v>
      </c>
      <c r="I197" s="10">
        <v>0</v>
      </c>
      <c r="J197" s="7">
        <f>H197+I197</f>
        <v>0.0</v>
      </c>
      <c r="K197" s="7">
        <f>I197*F197</f>
        <v>0.0</v>
      </c>
      <c r="L197" s="7">
        <f>J197*F197</f>
        <v>0.0</v>
      </c>
    </row>
    <row r="198" spans="1:12">
      <c r="A198" s="6" t="s">
        <v>368</v>
      </c>
      <c r="B198" s="6" t="s">
        <v>470</v>
      </c>
      <c r="C198" s="11" t="s">
        <v>471</v>
      </c>
      <c r="D198" s="6" t="s">
        <v>179</v>
      </c>
      <c r="E198" s="7">
        <v>79</v>
      </c>
      <c r="F198" s="7">
        <v>107.26</v>
      </c>
      <c r="G198" s="7">
        <v>8473.540000000001</v>
      </c>
      <c r="H198" s="10">
        <v>0</v>
      </c>
      <c r="I198" s="10">
        <v>0</v>
      </c>
      <c r="J198" s="7">
        <f>H198+I198</f>
        <v>0.0</v>
      </c>
      <c r="K198" s="7">
        <f>I198*F198</f>
        <v>0.0</v>
      </c>
      <c r="L198" s="7">
        <f>J198*F198</f>
        <v>0.0</v>
      </c>
    </row>
    <row r="199" spans="1:12">
      <c r="A199" s="6" t="s">
        <v>368</v>
      </c>
      <c r="B199" s="6" t="s">
        <v>472</v>
      </c>
      <c r="C199" s="11" t="s">
        <v>473</v>
      </c>
      <c r="D199" s="6" t="s">
        <v>179</v>
      </c>
      <c r="E199" s="7">
        <v>53</v>
      </c>
      <c r="F199" s="7">
        <v>83.42</v>
      </c>
      <c r="G199" s="7">
        <v>4421.26</v>
      </c>
      <c r="H199" s="10">
        <v>0</v>
      </c>
      <c r="I199" s="10">
        <v>0</v>
      </c>
      <c r="J199" s="7">
        <f>H199+I199</f>
        <v>0.0</v>
      </c>
      <c r="K199" s="7">
        <f>I199*F199</f>
        <v>0.0</v>
      </c>
      <c r="L199" s="7">
        <f>J199*F199</f>
        <v>0.0</v>
      </c>
    </row>
    <row r="200" spans="1:12">
      <c r="A200" s="6" t="s">
        <v>368</v>
      </c>
      <c r="B200" s="6" t="s">
        <v>474</v>
      </c>
      <c r="C200" s="11" t="s">
        <v>475</v>
      </c>
      <c r="D200" s="6" t="s">
        <v>179</v>
      </c>
      <c r="E200" s="7">
        <v>53</v>
      </c>
      <c r="F200" s="7">
        <v>39.72</v>
      </c>
      <c r="G200" s="7">
        <v>2105.16</v>
      </c>
      <c r="H200" s="10">
        <v>0</v>
      </c>
      <c r="I200" s="10">
        <v>0</v>
      </c>
      <c r="J200" s="7">
        <f>H200+I200</f>
        <v>0.0</v>
      </c>
      <c r="K200" s="7">
        <f>I200*F200</f>
        <v>0.0</v>
      </c>
      <c r="L200" s="7">
        <f>J200*F200</f>
        <v>0.0</v>
      </c>
    </row>
    <row r="201" spans="1:12">
      <c r="A201" s="6" t="s">
        <v>368</v>
      </c>
      <c r="B201" s="6" t="s">
        <v>476</v>
      </c>
      <c r="C201" s="11" t="s">
        <v>477</v>
      </c>
      <c r="D201" s="6" t="s">
        <v>179</v>
      </c>
      <c r="E201" s="7">
        <v>62943</v>
      </c>
      <c r="F201" s="7">
        <v>62.93</v>
      </c>
      <c r="G201" s="7">
        <v>3961002.99</v>
      </c>
      <c r="H201" s="10">
        <v>0</v>
      </c>
      <c r="I201" s="10">
        <v>0</v>
      </c>
      <c r="J201" s="7">
        <f>H201+I201</f>
        <v>0.0</v>
      </c>
      <c r="K201" s="7">
        <f>I201*F201</f>
        <v>0.0</v>
      </c>
      <c r="L201" s="7">
        <f>J201*F201</f>
        <v>0.0</v>
      </c>
    </row>
    <row r="202" spans="1:12">
      <c r="A202" s="6" t="s">
        <v>368</v>
      </c>
      <c r="B202" s="6" t="s">
        <v>478</v>
      </c>
      <c r="C202" s="11" t="s">
        <v>479</v>
      </c>
      <c r="D202" s="6" t="s">
        <v>179</v>
      </c>
      <c r="E202" s="7">
        <v>29014</v>
      </c>
      <c r="F202" s="7">
        <v>9.27</v>
      </c>
      <c r="G202" s="7">
        <v>268959.78</v>
      </c>
      <c r="H202" s="10">
        <v>0</v>
      </c>
      <c r="I202" s="10">
        <v>0</v>
      </c>
      <c r="J202" s="7">
        <f>H202+I202</f>
        <v>0.0</v>
      </c>
      <c r="K202" s="7">
        <f>I202*F202</f>
        <v>0.0</v>
      </c>
      <c r="L202" s="7">
        <f>J202*F202</f>
        <v>0.0</v>
      </c>
    </row>
    <row r="203" spans="1:12">
      <c r="A203" s="6" t="s">
        <v>368</v>
      </c>
      <c r="B203" s="6" t="s">
        <v>480</v>
      </c>
      <c r="C203" s="11" t="s">
        <v>481</v>
      </c>
      <c r="D203" s="6" t="s">
        <v>130</v>
      </c>
      <c r="E203" s="7">
        <v>14</v>
      </c>
      <c r="F203" s="7">
        <v>589.12</v>
      </c>
      <c r="G203" s="7">
        <v>8247.68</v>
      </c>
      <c r="H203" s="10">
        <v>0</v>
      </c>
      <c r="I203" s="10">
        <v>0</v>
      </c>
      <c r="J203" s="7">
        <f>H203+I203</f>
        <v>0.0</v>
      </c>
      <c r="K203" s="7">
        <f>I203*F203</f>
        <v>0.0</v>
      </c>
      <c r="L203" s="7">
        <f>J203*F203</f>
        <v>0.0</v>
      </c>
    </row>
    <row r="204" spans="1:12">
      <c r="A204" s="6" t="s">
        <v>368</v>
      </c>
      <c r="B204" s="6" t="s">
        <v>482</v>
      </c>
      <c r="C204" s="11" t="s">
        <v>483</v>
      </c>
      <c r="D204" s="6" t="s">
        <v>130</v>
      </c>
      <c r="E204" s="7">
        <v>14</v>
      </c>
      <c r="F204" s="7">
        <v>589.12</v>
      </c>
      <c r="G204" s="7">
        <v>8247.68</v>
      </c>
      <c r="H204" s="10">
        <v>0</v>
      </c>
      <c r="I204" s="10">
        <v>0</v>
      </c>
      <c r="J204" s="7">
        <f>H204+I204</f>
        <v>0.0</v>
      </c>
      <c r="K204" s="7">
        <f>I204*F204</f>
        <v>0.0</v>
      </c>
      <c r="L204" s="7">
        <f>J204*F204</f>
        <v>0.0</v>
      </c>
    </row>
    <row r="205" spans="1:12">
      <c r="A205" s="6" t="s">
        <v>368</v>
      </c>
      <c r="B205" s="6" t="s">
        <v>484</v>
      </c>
      <c r="C205" s="11" t="s">
        <v>485</v>
      </c>
      <c r="D205" s="6" t="s">
        <v>130</v>
      </c>
      <c r="E205" s="7">
        <v>6</v>
      </c>
      <c r="F205" s="7">
        <v>589.12</v>
      </c>
      <c r="G205" s="7">
        <v>3534.72</v>
      </c>
      <c r="H205" s="10">
        <v>0</v>
      </c>
      <c r="I205" s="10">
        <v>0</v>
      </c>
      <c r="J205" s="7">
        <f>H205+I205</f>
        <v>0.0</v>
      </c>
      <c r="K205" s="7">
        <f>I205*F205</f>
        <v>0.0</v>
      </c>
      <c r="L205" s="7">
        <f>J205*F205</f>
        <v>0.0</v>
      </c>
    </row>
    <row r="206" spans="1:12">
      <c r="A206" s="6" t="s">
        <v>368</v>
      </c>
      <c r="B206" s="6" t="s">
        <v>486</v>
      </c>
      <c r="C206" s="11" t="s">
        <v>487</v>
      </c>
      <c r="D206" s="6" t="s">
        <v>130</v>
      </c>
      <c r="E206" s="7">
        <v>6</v>
      </c>
      <c r="F206" s="7">
        <v>589.12</v>
      </c>
      <c r="G206" s="7">
        <v>3534.72</v>
      </c>
      <c r="H206" s="10">
        <v>0</v>
      </c>
      <c r="I206" s="10">
        <v>0</v>
      </c>
      <c r="J206" s="7">
        <f>H206+I206</f>
        <v>0.0</v>
      </c>
      <c r="K206" s="7">
        <f>I206*F206</f>
        <v>0.0</v>
      </c>
      <c r="L206" s="7">
        <f>J206*F206</f>
        <v>0.0</v>
      </c>
    </row>
    <row r="207" spans="1:12">
      <c r="A207" s="6" t="s">
        <v>368</v>
      </c>
      <c r="B207" s="6" t="s">
        <v>488</v>
      </c>
      <c r="C207" s="11" t="s">
        <v>489</v>
      </c>
      <c r="D207" s="6" t="s">
        <v>130</v>
      </c>
      <c r="E207" s="7">
        <v>20</v>
      </c>
      <c r="F207" s="7">
        <v>420.81</v>
      </c>
      <c r="G207" s="7">
        <v>8416.200000000001</v>
      </c>
      <c r="H207" s="10">
        <v>0</v>
      </c>
      <c r="I207" s="10">
        <v>0</v>
      </c>
      <c r="J207" s="7">
        <f>H207+I207</f>
        <v>0.0</v>
      </c>
      <c r="K207" s="7">
        <f>I207*F207</f>
        <v>0.0</v>
      </c>
      <c r="L207" s="7">
        <f>J207*F207</f>
        <v>0.0</v>
      </c>
    </row>
    <row r="208" spans="1:12">
      <c r="A208" s="6" t="s">
        <v>368</v>
      </c>
      <c r="B208" s="6" t="s">
        <v>490</v>
      </c>
      <c r="C208" s="11" t="s">
        <v>491</v>
      </c>
      <c r="D208" s="6" t="s">
        <v>130</v>
      </c>
      <c r="E208" s="7">
        <v>6</v>
      </c>
      <c r="F208" s="7">
        <v>420.81</v>
      </c>
      <c r="G208" s="7">
        <v>2524.86</v>
      </c>
      <c r="H208" s="10">
        <v>0</v>
      </c>
      <c r="I208" s="10">
        <v>0</v>
      </c>
      <c r="J208" s="7">
        <f>H208+I208</f>
        <v>0.0</v>
      </c>
      <c r="K208" s="7">
        <f>I208*F208</f>
        <v>0.0</v>
      </c>
      <c r="L208" s="7">
        <f>J208*F208</f>
        <v>0.0</v>
      </c>
    </row>
    <row r="209" spans="1:12">
      <c r="A209" s="6" t="s">
        <v>368</v>
      </c>
      <c r="B209" s="6" t="s">
        <v>492</v>
      </c>
      <c r="C209" s="11" t="s">
        <v>493</v>
      </c>
      <c r="D209" s="6" t="s">
        <v>130</v>
      </c>
      <c r="E209" s="7">
        <v>16</v>
      </c>
      <c r="F209" s="7">
        <v>378.74</v>
      </c>
      <c r="G209" s="7">
        <v>6059.84</v>
      </c>
      <c r="H209" s="10">
        <v>0</v>
      </c>
      <c r="I209" s="10">
        <v>0</v>
      </c>
      <c r="J209" s="7">
        <f>H209+I209</f>
        <v>0.0</v>
      </c>
      <c r="K209" s="7">
        <f>I209*F209</f>
        <v>0.0</v>
      </c>
      <c r="L209" s="7">
        <f>J209*F209</f>
        <v>0.0</v>
      </c>
    </row>
    <row r="210" spans="1:12">
      <c r="A210" s="6" t="s">
        <v>368</v>
      </c>
      <c r="B210" s="6" t="s">
        <v>494</v>
      </c>
      <c r="C210" s="11" t="s">
        <v>495</v>
      </c>
      <c r="D210" s="6" t="s">
        <v>130</v>
      </c>
      <c r="E210" s="7">
        <v>26</v>
      </c>
      <c r="F210" s="7">
        <v>336.63</v>
      </c>
      <c r="G210" s="7">
        <v>8752.379999999999</v>
      </c>
      <c r="H210" s="10">
        <v>0</v>
      </c>
      <c r="I210" s="10">
        <v>0</v>
      </c>
      <c r="J210" s="7">
        <f>H210+I210</f>
        <v>0.0</v>
      </c>
      <c r="K210" s="7">
        <f>I210*F210</f>
        <v>0.0</v>
      </c>
      <c r="L210" s="7">
        <f>J210*F210</f>
        <v>0.0</v>
      </c>
    </row>
    <row r="211" spans="1:12">
      <c r="A211" s="6" t="s">
        <v>368</v>
      </c>
      <c r="B211" s="6" t="s">
        <v>496</v>
      </c>
      <c r="C211" s="11" t="s">
        <v>497</v>
      </c>
      <c r="D211" s="6" t="s">
        <v>130</v>
      </c>
      <c r="E211" s="7">
        <v>18</v>
      </c>
      <c r="F211" s="7">
        <v>252.49</v>
      </c>
      <c r="G211" s="7">
        <v>4544.82</v>
      </c>
      <c r="H211" s="10">
        <v>0</v>
      </c>
      <c r="I211" s="10">
        <v>0</v>
      </c>
      <c r="J211" s="7">
        <f>H211+I211</f>
        <v>0.0</v>
      </c>
      <c r="K211" s="7">
        <f>I211*F211</f>
        <v>0.0</v>
      </c>
      <c r="L211" s="7">
        <f>J211*F211</f>
        <v>0.0</v>
      </c>
    </row>
    <row r="212" spans="1:12">
      <c r="A212" s="6" t="s">
        <v>368</v>
      </c>
      <c r="B212" s="6" t="s">
        <v>498</v>
      </c>
      <c r="C212" s="11" t="s">
        <v>499</v>
      </c>
      <c r="D212" s="6" t="s">
        <v>130</v>
      </c>
      <c r="E212" s="7">
        <v>66</v>
      </c>
      <c r="F212" s="7">
        <v>101.01</v>
      </c>
      <c r="G212" s="7">
        <v>6666.66</v>
      </c>
      <c r="H212" s="10">
        <v>0</v>
      </c>
      <c r="I212" s="10">
        <v>0</v>
      </c>
      <c r="J212" s="7">
        <f>H212+I212</f>
        <v>0.0</v>
      </c>
      <c r="K212" s="7">
        <f>I212*F212</f>
        <v>0.0</v>
      </c>
      <c r="L212" s="7">
        <f>J212*F212</f>
        <v>0.0</v>
      </c>
    </row>
    <row r="213" spans="1:12">
      <c r="A213" s="6" t="s">
        <v>368</v>
      </c>
      <c r="B213" s="6" t="s">
        <v>500</v>
      </c>
      <c r="C213" s="11" t="s">
        <v>501</v>
      </c>
      <c r="D213" s="6" t="s">
        <v>130</v>
      </c>
      <c r="E213" s="7">
        <v>22</v>
      </c>
      <c r="F213" s="7">
        <v>240.86</v>
      </c>
      <c r="G213" s="7">
        <v>5298.92</v>
      </c>
      <c r="H213" s="10">
        <v>0</v>
      </c>
      <c r="I213" s="10">
        <v>0</v>
      </c>
      <c r="J213" s="7">
        <f>H213+I213</f>
        <v>0.0</v>
      </c>
      <c r="K213" s="7">
        <f>I213*F213</f>
        <v>0.0</v>
      </c>
      <c r="L213" s="7">
        <f>J213*F213</f>
        <v>0.0</v>
      </c>
    </row>
    <row r="214" spans="1:12">
      <c r="A214" s="6" t="s">
        <v>368</v>
      </c>
      <c r="B214" s="6" t="s">
        <v>502</v>
      </c>
      <c r="C214" s="11" t="s">
        <v>503</v>
      </c>
      <c r="D214" s="6" t="s">
        <v>130</v>
      </c>
      <c r="E214" s="7">
        <v>2</v>
      </c>
      <c r="F214" s="7">
        <v>161.22</v>
      </c>
      <c r="G214" s="7">
        <v>322.44</v>
      </c>
      <c r="H214" s="10">
        <v>0</v>
      </c>
      <c r="I214" s="10">
        <v>0</v>
      </c>
      <c r="J214" s="7">
        <f>H214+I214</f>
        <v>0.0</v>
      </c>
      <c r="K214" s="7">
        <f>I214*F214</f>
        <v>0.0</v>
      </c>
      <c r="L214" s="7">
        <f>J214*F214</f>
        <v>0.0</v>
      </c>
    </row>
    <row r="215" spans="1:12">
      <c r="A215" s="6" t="s">
        <v>368</v>
      </c>
      <c r="B215" s="6" t="s">
        <v>504</v>
      </c>
      <c r="C215" s="11" t="s">
        <v>505</v>
      </c>
      <c r="D215" s="6" t="s">
        <v>130</v>
      </c>
      <c r="E215" s="7">
        <v>6</v>
      </c>
      <c r="F215" s="7">
        <v>161.22</v>
      </c>
      <c r="G215" s="7">
        <v>967.3200000000001</v>
      </c>
      <c r="H215" s="10">
        <v>0</v>
      </c>
      <c r="I215" s="10">
        <v>0</v>
      </c>
      <c r="J215" s="7">
        <f>H215+I215</f>
        <v>0.0</v>
      </c>
      <c r="K215" s="7">
        <f>I215*F215</f>
        <v>0.0</v>
      </c>
      <c r="L215" s="7">
        <f>J215*F215</f>
        <v>0.0</v>
      </c>
    </row>
    <row r="216" spans="1:12">
      <c r="A216" s="6" t="s">
        <v>368</v>
      </c>
      <c r="B216" s="6" t="s">
        <v>506</v>
      </c>
      <c r="C216" s="11" t="s">
        <v>507</v>
      </c>
      <c r="D216" s="6" t="s">
        <v>130</v>
      </c>
      <c r="E216" s="7">
        <v>4</v>
      </c>
      <c r="F216" s="7">
        <v>161.22</v>
      </c>
      <c r="G216" s="7">
        <v>644.88</v>
      </c>
      <c r="H216" s="10">
        <v>0</v>
      </c>
      <c r="I216" s="10">
        <v>0</v>
      </c>
      <c r="J216" s="7">
        <f>H216+I216</f>
        <v>0.0</v>
      </c>
      <c r="K216" s="7">
        <f>I216*F216</f>
        <v>0.0</v>
      </c>
      <c r="L216" s="7">
        <f>J216*F216</f>
        <v>0.0</v>
      </c>
    </row>
    <row r="217" spans="1:12">
      <c r="A217" s="6" t="s">
        <v>368</v>
      </c>
      <c r="B217" s="6" t="s">
        <v>508</v>
      </c>
      <c r="C217" s="11" t="s">
        <v>509</v>
      </c>
      <c r="D217" s="6" t="s">
        <v>130</v>
      </c>
      <c r="E217" s="7">
        <v>4</v>
      </c>
      <c r="F217" s="7">
        <v>101.01</v>
      </c>
      <c r="G217" s="7">
        <v>404.04</v>
      </c>
      <c r="H217" s="10">
        <v>0</v>
      </c>
      <c r="I217" s="10">
        <v>0</v>
      </c>
      <c r="J217" s="7">
        <f>H217+I217</f>
        <v>0.0</v>
      </c>
      <c r="K217" s="7">
        <f>I217*F217</f>
        <v>0.0</v>
      </c>
      <c r="L217" s="7">
        <f>J217*F217</f>
        <v>0.0</v>
      </c>
    </row>
    <row r="218" spans="1:12">
      <c r="A218" s="6" t="s">
        <v>368</v>
      </c>
      <c r="B218" s="6" t="s">
        <v>510</v>
      </c>
      <c r="C218" s="11" t="s">
        <v>511</v>
      </c>
      <c r="D218" s="6" t="s">
        <v>130</v>
      </c>
      <c r="E218" s="7">
        <v>258</v>
      </c>
      <c r="F218" s="7">
        <v>101.01</v>
      </c>
      <c r="G218" s="7">
        <v>26060.58</v>
      </c>
      <c r="H218" s="10">
        <v>0</v>
      </c>
      <c r="I218" s="10">
        <v>0</v>
      </c>
      <c r="J218" s="7">
        <f>H218+I218</f>
        <v>0.0</v>
      </c>
      <c r="K218" s="7">
        <f>I218*F218</f>
        <v>0.0</v>
      </c>
      <c r="L218" s="7">
        <f>J218*F218</f>
        <v>0.0</v>
      </c>
    </row>
    <row r="219" spans="1:12">
      <c r="A219" s="6" t="s">
        <v>368</v>
      </c>
      <c r="B219" s="6" t="s">
        <v>512</v>
      </c>
      <c r="C219" s="11" t="s">
        <v>513</v>
      </c>
      <c r="D219" s="6" t="s">
        <v>130</v>
      </c>
      <c r="E219" s="7">
        <v>92</v>
      </c>
      <c r="F219" s="7">
        <v>101.01</v>
      </c>
      <c r="G219" s="7">
        <v>9292.92</v>
      </c>
      <c r="H219" s="10">
        <v>0</v>
      </c>
      <c r="I219" s="10">
        <v>0</v>
      </c>
      <c r="J219" s="7">
        <f>H219+I219</f>
        <v>0.0</v>
      </c>
      <c r="K219" s="7">
        <f>I219*F219</f>
        <v>0.0</v>
      </c>
      <c r="L219" s="7">
        <f>J219*F219</f>
        <v>0.0</v>
      </c>
    </row>
    <row r="220" spans="1:12">
      <c r="A220" s="6" t="s">
        <v>368</v>
      </c>
      <c r="B220" s="6" t="s">
        <v>514</v>
      </c>
      <c r="C220" s="11" t="s">
        <v>515</v>
      </c>
      <c r="D220" s="6" t="s">
        <v>179</v>
      </c>
      <c r="E220" s="7">
        <v>100</v>
      </c>
      <c r="F220" s="7">
        <v>6.91</v>
      </c>
      <c r="G220" s="7">
        <v>691</v>
      </c>
      <c r="H220" s="10">
        <v>0</v>
      </c>
      <c r="I220" s="10">
        <v>0</v>
      </c>
      <c r="J220" s="7">
        <f>H220+I220</f>
        <v>0.0</v>
      </c>
      <c r="K220" s="7">
        <f>I220*F220</f>
        <v>0.0</v>
      </c>
      <c r="L220" s="7">
        <f>J220*F220</f>
        <v>0.0</v>
      </c>
    </row>
    <row r="221" spans="1:12">
      <c r="A221" s="6" t="s">
        <v>368</v>
      </c>
      <c r="B221" s="6" t="s">
        <v>516</v>
      </c>
      <c r="C221" s="11" t="s">
        <v>517</v>
      </c>
      <c r="D221" s="6" t="s">
        <v>179</v>
      </c>
      <c r="E221" s="7">
        <v>100</v>
      </c>
      <c r="F221" s="7">
        <v>4.94</v>
      </c>
      <c r="G221" s="7">
        <v>494</v>
      </c>
      <c r="H221" s="10">
        <v>0</v>
      </c>
      <c r="I221" s="10">
        <v>0</v>
      </c>
      <c r="J221" s="7">
        <f>H221+I221</f>
        <v>0.0</v>
      </c>
      <c r="K221" s="7">
        <f>I221*F221</f>
        <v>0.0</v>
      </c>
      <c r="L221" s="7">
        <f>J221*F221</f>
        <v>0.0</v>
      </c>
    </row>
    <row r="222" spans="1:12">
      <c r="A222" s="6" t="s">
        <v>368</v>
      </c>
      <c r="B222" s="6" t="s">
        <v>518</v>
      </c>
      <c r="C222" s="11" t="s">
        <v>519</v>
      </c>
      <c r="D222" s="6" t="s">
        <v>179</v>
      </c>
      <c r="E222" s="7">
        <v>100</v>
      </c>
      <c r="F222" s="7">
        <v>6.48</v>
      </c>
      <c r="G222" s="7">
        <v>648</v>
      </c>
      <c r="H222" s="10">
        <v>0</v>
      </c>
      <c r="I222" s="10">
        <v>0</v>
      </c>
      <c r="J222" s="7">
        <f>H222+I222</f>
        <v>0.0</v>
      </c>
      <c r="K222" s="7">
        <f>I222*F222</f>
        <v>0.0</v>
      </c>
      <c r="L222" s="7">
        <f>J222*F222</f>
        <v>0.0</v>
      </c>
    </row>
    <row r="223" spans="1:12">
      <c r="A223" s="6" t="s">
        <v>368</v>
      </c>
      <c r="B223" s="6" t="s">
        <v>520</v>
      </c>
      <c r="C223" s="11" t="s">
        <v>521</v>
      </c>
      <c r="D223" s="6" t="s">
        <v>179</v>
      </c>
      <c r="E223" s="7">
        <v>100</v>
      </c>
      <c r="F223" s="7">
        <v>9.4</v>
      </c>
      <c r="G223" s="7">
        <v>940</v>
      </c>
      <c r="H223" s="10">
        <v>0</v>
      </c>
      <c r="I223" s="10">
        <v>0</v>
      </c>
      <c r="J223" s="7">
        <f>H223+I223</f>
        <v>0.0</v>
      </c>
      <c r="K223" s="7">
        <f>I223*F223</f>
        <v>0.0</v>
      </c>
      <c r="L223" s="7">
        <f>J223*F223</f>
        <v>0.0</v>
      </c>
    </row>
    <row r="224" spans="1:12">
      <c r="A224" s="6" t="s">
        <v>368</v>
      </c>
      <c r="B224" s="6" t="s">
        <v>522</v>
      </c>
      <c r="C224" s="11" t="s">
        <v>523</v>
      </c>
      <c r="D224" s="6" t="s">
        <v>179</v>
      </c>
      <c r="E224" s="7">
        <v>100</v>
      </c>
      <c r="F224" s="7">
        <v>14.21</v>
      </c>
      <c r="G224" s="7">
        <v>1421</v>
      </c>
      <c r="H224" s="10">
        <v>0</v>
      </c>
      <c r="I224" s="10">
        <v>0</v>
      </c>
      <c r="J224" s="7">
        <f>H224+I224</f>
        <v>0.0</v>
      </c>
      <c r="K224" s="7">
        <f>I224*F224</f>
        <v>0.0</v>
      </c>
      <c r="L224" s="7">
        <f>J224*F224</f>
        <v>0.0</v>
      </c>
    </row>
    <row r="225" spans="1:12">
      <c r="A225" s="6" t="s">
        <v>368</v>
      </c>
      <c r="B225" s="6" t="s">
        <v>524</v>
      </c>
      <c r="C225" s="11" t="s">
        <v>525</v>
      </c>
      <c r="D225" s="6" t="s">
        <v>179</v>
      </c>
      <c r="E225" s="7">
        <v>100</v>
      </c>
      <c r="F225" s="7">
        <v>11.89</v>
      </c>
      <c r="G225" s="7">
        <v>1189</v>
      </c>
      <c r="H225" s="10">
        <v>0</v>
      </c>
      <c r="I225" s="10">
        <v>0</v>
      </c>
      <c r="J225" s="7">
        <f>H225+I225</f>
        <v>0.0</v>
      </c>
      <c r="K225" s="7">
        <f>I225*F225</f>
        <v>0.0</v>
      </c>
      <c r="L225" s="7">
        <f>J225*F225</f>
        <v>0.0</v>
      </c>
    </row>
    <row r="226" spans="1:12">
      <c r="A226" s="6" t="s">
        <v>368</v>
      </c>
      <c r="B226" s="6" t="s">
        <v>526</v>
      </c>
      <c r="C226" s="11" t="s">
        <v>527</v>
      </c>
      <c r="D226" s="6" t="s">
        <v>179</v>
      </c>
      <c r="E226" s="7">
        <v>100</v>
      </c>
      <c r="F226" s="7">
        <v>17.86</v>
      </c>
      <c r="G226" s="7">
        <v>1786</v>
      </c>
      <c r="H226" s="10">
        <v>0</v>
      </c>
      <c r="I226" s="10">
        <v>0</v>
      </c>
      <c r="J226" s="7">
        <f>H226+I226</f>
        <v>0.0</v>
      </c>
      <c r="K226" s="7">
        <f>I226*F226</f>
        <v>0.0</v>
      </c>
      <c r="L226" s="7">
        <f>J226*F226</f>
        <v>0.0</v>
      </c>
    </row>
    <row r="227" spans="1:12">
      <c r="A227" s="6" t="s">
        <v>368</v>
      </c>
      <c r="B227" s="6" t="s">
        <v>528</v>
      </c>
      <c r="C227" s="11" t="s">
        <v>529</v>
      </c>
      <c r="D227" s="6" t="s">
        <v>179</v>
      </c>
      <c r="E227" s="7">
        <v>100</v>
      </c>
      <c r="F227" s="7">
        <v>35.71</v>
      </c>
      <c r="G227" s="7">
        <v>3571</v>
      </c>
      <c r="H227" s="10">
        <v>0</v>
      </c>
      <c r="I227" s="10">
        <v>0</v>
      </c>
      <c r="J227" s="7">
        <f>H227+I227</f>
        <v>0.0</v>
      </c>
      <c r="K227" s="7">
        <f>I227*F227</f>
        <v>0.0</v>
      </c>
      <c r="L227" s="7">
        <f>J227*F227</f>
        <v>0.0</v>
      </c>
    </row>
    <row r="228" spans="1:12">
      <c r="A228" s="6" t="s">
        <v>368</v>
      </c>
      <c r="B228" s="6" t="s">
        <v>530</v>
      </c>
      <c r="C228" s="11" t="s">
        <v>531</v>
      </c>
      <c r="D228" s="6" t="s">
        <v>179</v>
      </c>
      <c r="E228" s="7">
        <v>100</v>
      </c>
      <c r="F228" s="7">
        <v>71.43000000000001</v>
      </c>
      <c r="G228" s="7">
        <v>7143</v>
      </c>
      <c r="H228" s="10">
        <v>0</v>
      </c>
      <c r="I228" s="10">
        <v>0</v>
      </c>
      <c r="J228" s="7">
        <f>H228+I228</f>
        <v>0.0</v>
      </c>
      <c r="K228" s="7">
        <f>I228*F228</f>
        <v>0.0</v>
      </c>
      <c r="L228" s="7">
        <f>J228*F228</f>
        <v>0.0</v>
      </c>
    </row>
    <row r="229" spans="1:12">
      <c r="A229" s="6" t="s">
        <v>368</v>
      </c>
      <c r="B229" s="6" t="s">
        <v>532</v>
      </c>
      <c r="C229" s="11" t="s">
        <v>533</v>
      </c>
      <c r="D229" s="6" t="s">
        <v>130</v>
      </c>
      <c r="E229" s="7">
        <v>250</v>
      </c>
      <c r="F229" s="7">
        <v>491.93</v>
      </c>
      <c r="G229" s="7">
        <v>122982.5</v>
      </c>
      <c r="H229" s="10">
        <v>0</v>
      </c>
      <c r="I229" s="10">
        <v>0</v>
      </c>
      <c r="J229" s="7">
        <f>H229+I229</f>
        <v>0.0</v>
      </c>
      <c r="K229" s="7">
        <f>I229*F229</f>
        <v>0.0</v>
      </c>
      <c r="L229" s="7">
        <f>J229*F229</f>
        <v>0.0</v>
      </c>
    </row>
    <row r="230" spans="1:12">
      <c r="A230" s="6" t="s">
        <v>368</v>
      </c>
      <c r="B230" s="6" t="s">
        <v>534</v>
      </c>
      <c r="C230" s="11" t="s">
        <v>535</v>
      </c>
      <c r="D230" s="6" t="s">
        <v>130</v>
      </c>
      <c r="E230" s="7">
        <v>2</v>
      </c>
      <c r="F230" s="7">
        <v>262.36</v>
      </c>
      <c r="G230" s="7">
        <v>524.72</v>
      </c>
      <c r="H230" s="10">
        <v>0</v>
      </c>
      <c r="I230" s="10">
        <v>0</v>
      </c>
      <c r="J230" s="7">
        <f>H230+I230</f>
        <v>0.0</v>
      </c>
      <c r="K230" s="7">
        <f>I230*F230</f>
        <v>0.0</v>
      </c>
      <c r="L230" s="7">
        <f>J230*F230</f>
        <v>0.0</v>
      </c>
    </row>
    <row r="231" spans="1:12">
      <c r="A231" s="6" t="s">
        <v>368</v>
      </c>
      <c r="B231" s="6" t="s">
        <v>536</v>
      </c>
      <c r="C231" s="11" t="s">
        <v>537</v>
      </c>
      <c r="D231" s="6" t="s">
        <v>179</v>
      </c>
      <c r="E231" s="7">
        <v>1550</v>
      </c>
      <c r="F231" s="7">
        <v>319.76</v>
      </c>
      <c r="G231" s="7">
        <v>495628</v>
      </c>
      <c r="H231" s="10">
        <v>0</v>
      </c>
      <c r="I231" s="10">
        <v>0</v>
      </c>
      <c r="J231" s="7">
        <f>H231+I231</f>
        <v>0.0</v>
      </c>
      <c r="K231" s="7">
        <f>I231*F231</f>
        <v>0.0</v>
      </c>
      <c r="L231" s="7">
        <f>J231*F231</f>
        <v>0.0</v>
      </c>
    </row>
    <row r="232" spans="1:12">
      <c r="A232" s="6" t="s">
        <v>368</v>
      </c>
      <c r="B232" s="6" t="s">
        <v>538</v>
      </c>
      <c r="C232" s="11" t="s">
        <v>539</v>
      </c>
      <c r="D232" s="6" t="s">
        <v>179</v>
      </c>
      <c r="E232" s="7">
        <v>30</v>
      </c>
      <c r="F232" s="7">
        <v>213.17</v>
      </c>
      <c r="G232" s="7">
        <v>6395.1</v>
      </c>
      <c r="H232" s="10">
        <v>0</v>
      </c>
      <c r="I232" s="10">
        <v>0</v>
      </c>
      <c r="J232" s="7">
        <f>H232+I232</f>
        <v>0.0</v>
      </c>
      <c r="K232" s="7">
        <f>I232*F232</f>
        <v>0.0</v>
      </c>
      <c r="L232" s="7">
        <f>J232*F232</f>
        <v>0.0</v>
      </c>
    </row>
    <row r="233" spans="1:12">
      <c r="A233" s="6" t="s">
        <v>368</v>
      </c>
      <c r="B233" s="6" t="s">
        <v>540</v>
      </c>
      <c r="C233" s="11" t="s">
        <v>541</v>
      </c>
      <c r="D233" s="6" t="s">
        <v>179</v>
      </c>
      <c r="E233" s="7">
        <v>30</v>
      </c>
      <c r="F233" s="7">
        <v>155.78</v>
      </c>
      <c r="G233" s="7">
        <v>4673.4</v>
      </c>
      <c r="H233" s="10">
        <v>0</v>
      </c>
      <c r="I233" s="10">
        <v>0</v>
      </c>
      <c r="J233" s="7">
        <f>H233+I233</f>
        <v>0.0</v>
      </c>
      <c r="K233" s="7">
        <f>I233*F233</f>
        <v>0.0</v>
      </c>
      <c r="L233" s="7">
        <f>J233*F233</f>
        <v>0.0</v>
      </c>
    </row>
    <row r="234" spans="1:12">
      <c r="A234" s="6" t="s">
        <v>368</v>
      </c>
      <c r="B234" s="6" t="s">
        <v>542</v>
      </c>
      <c r="C234" s="11" t="s">
        <v>543</v>
      </c>
      <c r="D234" s="6" t="s">
        <v>179</v>
      </c>
      <c r="E234" s="7">
        <v>22008</v>
      </c>
      <c r="F234" s="7">
        <v>213.17</v>
      </c>
      <c r="G234" s="7">
        <v>4691445.36</v>
      </c>
      <c r="H234" s="10">
        <v>0</v>
      </c>
      <c r="I234" s="10">
        <v>0</v>
      </c>
      <c r="J234" s="7">
        <f>H234+I234</f>
        <v>0.0</v>
      </c>
      <c r="K234" s="7">
        <f>I234*F234</f>
        <v>0.0</v>
      </c>
      <c r="L234" s="7">
        <f>J234*F234</f>
        <v>0.0</v>
      </c>
    </row>
    <row r="235" spans="1:12">
      <c r="A235" s="6" t="s">
        <v>368</v>
      </c>
      <c r="B235" s="6" t="s">
        <v>544</v>
      </c>
      <c r="C235" s="11" t="s">
        <v>545</v>
      </c>
      <c r="D235" s="6" t="s">
        <v>179</v>
      </c>
      <c r="E235" s="7">
        <v>250</v>
      </c>
      <c r="F235" s="7">
        <v>328.77</v>
      </c>
      <c r="G235" s="7">
        <v>82192.5</v>
      </c>
      <c r="H235" s="10">
        <v>0</v>
      </c>
      <c r="I235" s="10">
        <v>0</v>
      </c>
      <c r="J235" s="7">
        <f>H235+I235</f>
        <v>0.0</v>
      </c>
      <c r="K235" s="7">
        <f>I235*F235</f>
        <v>0.0</v>
      </c>
      <c r="L235" s="7">
        <f>J235*F235</f>
        <v>0.0</v>
      </c>
    </row>
    <row r="236" spans="1:12">
      <c r="A236" s="6" t="s">
        <v>368</v>
      </c>
      <c r="B236" s="6" t="s">
        <v>546</v>
      </c>
      <c r="C236" s="11" t="s">
        <v>547</v>
      </c>
      <c r="D236" s="6" t="s">
        <v>130</v>
      </c>
      <c r="E236" s="7">
        <v>6</v>
      </c>
      <c r="F236" s="7">
        <v>1229.83</v>
      </c>
      <c r="G236" s="7">
        <v>7378.98</v>
      </c>
      <c r="H236" s="10">
        <v>0</v>
      </c>
      <c r="I236" s="10">
        <v>0</v>
      </c>
      <c r="J236" s="7">
        <f>H236+I236</f>
        <v>0.0</v>
      </c>
      <c r="K236" s="7">
        <f>I236*F236</f>
        <v>0.0</v>
      </c>
      <c r="L236" s="7">
        <f>J236*F236</f>
        <v>0.0</v>
      </c>
    </row>
    <row r="237" spans="1:12">
      <c r="A237" s="6" t="s">
        <v>368</v>
      </c>
      <c r="B237" s="6" t="s">
        <v>548</v>
      </c>
      <c r="C237" s="11" t="s">
        <v>549</v>
      </c>
      <c r="D237" s="6" t="s">
        <v>130</v>
      </c>
      <c r="E237" s="7">
        <v>2</v>
      </c>
      <c r="F237" s="7">
        <v>409.94</v>
      </c>
      <c r="G237" s="7">
        <v>819.88</v>
      </c>
      <c r="H237" s="10">
        <v>0</v>
      </c>
      <c r="I237" s="10">
        <v>0</v>
      </c>
      <c r="J237" s="7">
        <f>H237+I237</f>
        <v>0.0</v>
      </c>
      <c r="K237" s="7">
        <f>I237*F237</f>
        <v>0.0</v>
      </c>
      <c r="L237" s="7">
        <f>J237*F237</f>
        <v>0.0</v>
      </c>
    </row>
    <row r="238" spans="1:12">
      <c r="A238" s="6" t="s">
        <v>368</v>
      </c>
      <c r="B238" s="6" t="s">
        <v>550</v>
      </c>
      <c r="C238" s="11" t="s">
        <v>551</v>
      </c>
      <c r="D238" s="6" t="s">
        <v>130</v>
      </c>
      <c r="E238" s="7">
        <v>2</v>
      </c>
      <c r="F238" s="7">
        <v>20608.37</v>
      </c>
      <c r="G238" s="7">
        <v>41216.74</v>
      </c>
      <c r="H238" s="10">
        <v>0</v>
      </c>
      <c r="I238" s="10">
        <v>0</v>
      </c>
      <c r="J238" s="7">
        <f>H238+I238</f>
        <v>0.0</v>
      </c>
      <c r="K238" s="7">
        <f>I238*F238</f>
        <v>0.0</v>
      </c>
      <c r="L238" s="7">
        <f>J238*F238</f>
        <v>0.0</v>
      </c>
    </row>
    <row r="239" spans="1:12">
      <c r="A239" s="6" t="s">
        <v>368</v>
      </c>
      <c r="B239" s="6" t="s">
        <v>552</v>
      </c>
      <c r="C239" s="11" t="s">
        <v>553</v>
      </c>
      <c r="D239" s="6" t="s">
        <v>130</v>
      </c>
      <c r="E239" s="7">
        <v>2</v>
      </c>
      <c r="F239" s="7">
        <v>7556.27</v>
      </c>
      <c r="G239" s="7">
        <v>15112.54</v>
      </c>
      <c r="H239" s="10">
        <v>0</v>
      </c>
      <c r="I239" s="10">
        <v>0</v>
      </c>
      <c r="J239" s="7">
        <f>H239+I239</f>
        <v>0.0</v>
      </c>
      <c r="K239" s="7">
        <f>I239*F239</f>
        <v>0.0</v>
      </c>
      <c r="L239" s="7">
        <f>J239*F239</f>
        <v>0.0</v>
      </c>
    </row>
    <row r="240" spans="1:12">
      <c r="A240" s="6" t="s">
        <v>368</v>
      </c>
      <c r="B240" s="6" t="s">
        <v>554</v>
      </c>
      <c r="C240" s="11" t="s">
        <v>555</v>
      </c>
      <c r="D240" s="6" t="s">
        <v>130</v>
      </c>
      <c r="E240" s="7">
        <v>2</v>
      </c>
      <c r="F240" s="7">
        <v>48084.92</v>
      </c>
      <c r="G240" s="7">
        <v>96169.84</v>
      </c>
      <c r="H240" s="10">
        <v>0</v>
      </c>
      <c r="I240" s="10">
        <v>0</v>
      </c>
      <c r="J240" s="7">
        <f>H240+I240</f>
        <v>0.0</v>
      </c>
      <c r="K240" s="7">
        <f>I240*F240</f>
        <v>0.0</v>
      </c>
      <c r="L240" s="7">
        <f>J240*F240</f>
        <v>0.0</v>
      </c>
    </row>
    <row r="241" spans="1:12">
      <c r="A241" s="6" t="s">
        <v>368</v>
      </c>
      <c r="B241" s="6" t="s">
        <v>556</v>
      </c>
      <c r="C241" s="11" t="s">
        <v>557</v>
      </c>
      <c r="D241" s="6" t="s">
        <v>130</v>
      </c>
      <c r="E241" s="7">
        <v>2</v>
      </c>
      <c r="F241" s="7">
        <v>181350.57</v>
      </c>
      <c r="G241" s="7">
        <v>362701.14</v>
      </c>
      <c r="H241" s="10">
        <v>0</v>
      </c>
      <c r="I241" s="10">
        <v>0</v>
      </c>
      <c r="J241" s="7">
        <f>H241+I241</f>
        <v>0.0</v>
      </c>
      <c r="K241" s="7">
        <f>I241*F241</f>
        <v>0.0</v>
      </c>
      <c r="L241" s="7">
        <f>J241*F241</f>
        <v>0.0</v>
      </c>
    </row>
    <row r="242" spans="1:12">
      <c r="A242" s="6" t="s">
        <v>368</v>
      </c>
      <c r="B242" s="6" t="s">
        <v>558</v>
      </c>
      <c r="C242" s="11" t="s">
        <v>559</v>
      </c>
      <c r="D242" s="6" t="s">
        <v>130</v>
      </c>
      <c r="E242" s="7">
        <v>2</v>
      </c>
      <c r="F242" s="7">
        <v>51877.68</v>
      </c>
      <c r="G242" s="7">
        <v>103755.36</v>
      </c>
      <c r="H242" s="10">
        <v>0</v>
      </c>
      <c r="I242" s="10">
        <v>0</v>
      </c>
      <c r="J242" s="7">
        <f>H242+I242</f>
        <v>0.0</v>
      </c>
      <c r="K242" s="7">
        <f>I242*F242</f>
        <v>0.0</v>
      </c>
      <c r="L242" s="7">
        <f>J242*F242</f>
        <v>0.0</v>
      </c>
    </row>
    <row r="243" spans="1:12">
      <c r="A243" s="6" t="s">
        <v>368</v>
      </c>
      <c r="B243" s="6" t="s">
        <v>560</v>
      </c>
      <c r="C243" s="11" t="s">
        <v>561</v>
      </c>
      <c r="D243" s="6" t="s">
        <v>130</v>
      </c>
      <c r="E243" s="7">
        <v>4</v>
      </c>
      <c r="F243" s="7">
        <v>101450.7</v>
      </c>
      <c r="G243" s="7">
        <v>405802.8</v>
      </c>
      <c r="H243" s="10">
        <v>0</v>
      </c>
      <c r="I243" s="10">
        <v>0</v>
      </c>
      <c r="J243" s="7">
        <f>H243+I243</f>
        <v>0.0</v>
      </c>
      <c r="K243" s="7">
        <f>I243*F243</f>
        <v>0.0</v>
      </c>
      <c r="L243" s="7">
        <f>J243*F243</f>
        <v>0.0</v>
      </c>
    </row>
    <row r="244" spans="1:12">
      <c r="A244" s="6" t="s">
        <v>368</v>
      </c>
      <c r="B244" s="6" t="s">
        <v>562</v>
      </c>
      <c r="C244" s="11" t="s">
        <v>563</v>
      </c>
      <c r="D244" s="6" t="s">
        <v>130</v>
      </c>
      <c r="E244" s="7">
        <v>2</v>
      </c>
      <c r="F244" s="7">
        <v>101450.7</v>
      </c>
      <c r="G244" s="7">
        <v>202901.4</v>
      </c>
      <c r="H244" s="10">
        <v>0</v>
      </c>
      <c r="I244" s="10">
        <v>0</v>
      </c>
      <c r="J244" s="7">
        <f>H244+I244</f>
        <v>0.0</v>
      </c>
      <c r="K244" s="7">
        <f>I244*F244</f>
        <v>0.0</v>
      </c>
      <c r="L244" s="7">
        <f>J244*F244</f>
        <v>0.0</v>
      </c>
    </row>
    <row r="245" spans="1:12">
      <c r="A245" s="6" t="s">
        <v>368</v>
      </c>
      <c r="B245" s="6" t="s">
        <v>564</v>
      </c>
      <c r="C245" s="11" t="s">
        <v>565</v>
      </c>
      <c r="D245" s="6" t="s">
        <v>130</v>
      </c>
      <c r="E245" s="7">
        <v>2</v>
      </c>
      <c r="F245" s="7">
        <v>57643.14</v>
      </c>
      <c r="G245" s="7">
        <v>115286.28</v>
      </c>
      <c r="H245" s="10">
        <v>0</v>
      </c>
      <c r="I245" s="10">
        <v>0</v>
      </c>
      <c r="J245" s="7">
        <f>H245+I245</f>
        <v>0.0</v>
      </c>
      <c r="K245" s="7">
        <f>I245*F245</f>
        <v>0.0</v>
      </c>
      <c r="L245" s="7">
        <f>J245*F245</f>
        <v>0.0</v>
      </c>
    </row>
    <row r="246" spans="1:12">
      <c r="A246" s="6" t="s">
        <v>368</v>
      </c>
      <c r="B246" s="6" t="s">
        <v>566</v>
      </c>
      <c r="C246" s="11" t="s">
        <v>567</v>
      </c>
      <c r="D246" s="6" t="s">
        <v>130</v>
      </c>
      <c r="E246" s="7">
        <v>2</v>
      </c>
      <c r="F246" s="7">
        <v>518775.53</v>
      </c>
      <c r="G246" s="7">
        <v>1037551.06</v>
      </c>
      <c r="H246" s="10">
        <v>0</v>
      </c>
      <c r="I246" s="10">
        <v>0</v>
      </c>
      <c r="J246" s="7">
        <f>H246+I246</f>
        <v>0.0</v>
      </c>
      <c r="K246" s="7">
        <f>I246*F246</f>
        <v>0.0</v>
      </c>
      <c r="L246" s="7">
        <f>J246*F246</f>
        <v>0.0</v>
      </c>
    </row>
    <row r="247" spans="1:12">
      <c r="A247" s="6" t="s">
        <v>368</v>
      </c>
      <c r="B247" s="6" t="s">
        <v>568</v>
      </c>
      <c r="C247" s="11" t="s">
        <v>569</v>
      </c>
      <c r="D247" s="6" t="s">
        <v>130</v>
      </c>
      <c r="E247" s="7">
        <v>2</v>
      </c>
      <c r="F247" s="7">
        <v>86461.53</v>
      </c>
      <c r="G247" s="7">
        <v>172923.06</v>
      </c>
      <c r="H247" s="10">
        <v>0</v>
      </c>
      <c r="I247" s="10">
        <v>0</v>
      </c>
      <c r="J247" s="7">
        <f>H247+I247</f>
        <v>0.0</v>
      </c>
      <c r="K247" s="7">
        <f>I247*F247</f>
        <v>0.0</v>
      </c>
      <c r="L247" s="7">
        <f>J247*F247</f>
        <v>0.0</v>
      </c>
    </row>
    <row r="248" spans="1:12">
      <c r="A248" s="6" t="s">
        <v>368</v>
      </c>
      <c r="B248" s="6" t="s">
        <v>570</v>
      </c>
      <c r="C248" s="11" t="s">
        <v>571</v>
      </c>
      <c r="D248" s="6" t="s">
        <v>158</v>
      </c>
      <c r="E248" s="7">
        <v>20</v>
      </c>
      <c r="F248" s="7">
        <v>138.64</v>
      </c>
      <c r="G248" s="7">
        <v>2772.8</v>
      </c>
      <c r="H248" s="10">
        <v>0</v>
      </c>
      <c r="I248" s="10">
        <v>0</v>
      </c>
      <c r="J248" s="7">
        <f>H248+I248</f>
        <v>0.0</v>
      </c>
      <c r="K248" s="7">
        <f>I248*F248</f>
        <v>0.0</v>
      </c>
      <c r="L248" s="7">
        <f>J248*F248</f>
        <v>0.0</v>
      </c>
    </row>
    <row r="249" spans="1:12">
      <c r="A249" s="6" t="s">
        <v>368</v>
      </c>
      <c r="B249" s="6" t="s">
        <v>572</v>
      </c>
      <c r="C249" s="11" t="s">
        <v>573</v>
      </c>
      <c r="D249" s="6" t="s">
        <v>130</v>
      </c>
      <c r="E249" s="7">
        <v>2</v>
      </c>
      <c r="F249" s="7">
        <v>1729.76</v>
      </c>
      <c r="G249" s="7">
        <v>3459.52</v>
      </c>
      <c r="H249" s="10">
        <v>0</v>
      </c>
      <c r="I249" s="10">
        <v>0</v>
      </c>
      <c r="J249" s="7">
        <f>H249+I249</f>
        <v>0.0</v>
      </c>
      <c r="K249" s="7">
        <f>I249*F249</f>
        <v>0.0</v>
      </c>
      <c r="L249" s="7">
        <f>J249*F249</f>
        <v>0.0</v>
      </c>
    </row>
    <row r="250" spans="1:12">
      <c r="A250" s="6" t="s">
        <v>368</v>
      </c>
      <c r="B250" s="6" t="s">
        <v>574</v>
      </c>
      <c r="C250" s="11" t="s">
        <v>575</v>
      </c>
      <c r="D250" s="6" t="s">
        <v>130</v>
      </c>
      <c r="E250" s="7">
        <v>2</v>
      </c>
      <c r="F250" s="7">
        <v>63406.05</v>
      </c>
      <c r="G250" s="7">
        <v>126812.1</v>
      </c>
      <c r="H250" s="10">
        <v>0</v>
      </c>
      <c r="I250" s="10">
        <v>0</v>
      </c>
      <c r="J250" s="7">
        <f>H250+I250</f>
        <v>0.0</v>
      </c>
      <c r="K250" s="7">
        <f>I250*F250</f>
        <v>0.0</v>
      </c>
      <c r="L250" s="7">
        <f>J250*F250</f>
        <v>0.0</v>
      </c>
    </row>
    <row r="251" spans="1:12">
      <c r="A251" s="6" t="s">
        <v>368</v>
      </c>
      <c r="B251" s="6" t="s">
        <v>576</v>
      </c>
      <c r="C251" s="11" t="s">
        <v>577</v>
      </c>
      <c r="D251" s="6" t="s">
        <v>158</v>
      </c>
      <c r="E251" s="7">
        <v>50</v>
      </c>
      <c r="F251" s="7">
        <v>16.53</v>
      </c>
      <c r="G251" s="7">
        <v>826.5</v>
      </c>
      <c r="H251" s="10">
        <v>0</v>
      </c>
      <c r="I251" s="10">
        <v>0</v>
      </c>
      <c r="J251" s="7">
        <f>H251+I251</f>
        <v>0.0</v>
      </c>
      <c r="K251" s="7">
        <f>I251*F251</f>
        <v>0.0</v>
      </c>
      <c r="L251" s="7">
        <f>J251*F251</f>
        <v>0.0</v>
      </c>
    </row>
    <row r="252" spans="1:12">
      <c r="A252" s="6" t="s">
        <v>368</v>
      </c>
      <c r="B252" s="6" t="s">
        <v>578</v>
      </c>
      <c r="C252" s="11" t="s">
        <v>579</v>
      </c>
      <c r="D252" s="6" t="s">
        <v>158</v>
      </c>
      <c r="E252" s="7">
        <v>8700</v>
      </c>
      <c r="F252" s="7">
        <v>76.31</v>
      </c>
      <c r="G252" s="7">
        <v>663897</v>
      </c>
      <c r="H252" s="10">
        <v>0</v>
      </c>
      <c r="I252" s="10">
        <v>0</v>
      </c>
      <c r="J252" s="7">
        <f>H252+I252</f>
        <v>0.0</v>
      </c>
      <c r="K252" s="7">
        <f>I252*F252</f>
        <v>0.0</v>
      </c>
      <c r="L252" s="7">
        <f>J252*F252</f>
        <v>0.0</v>
      </c>
    </row>
    <row r="253" spans="1:12">
      <c r="A253" s="6" t="s">
        <v>368</v>
      </c>
      <c r="B253" s="6" t="s">
        <v>580</v>
      </c>
      <c r="C253" s="11" t="s">
        <v>581</v>
      </c>
      <c r="D253" s="6" t="s">
        <v>158</v>
      </c>
      <c r="E253" s="7">
        <v>620</v>
      </c>
      <c r="F253" s="7">
        <v>36.88</v>
      </c>
      <c r="G253" s="7">
        <v>22865.6</v>
      </c>
      <c r="H253" s="10">
        <v>0</v>
      </c>
      <c r="I253" s="10">
        <v>0</v>
      </c>
      <c r="J253" s="7">
        <f>H253+I253</f>
        <v>0.0</v>
      </c>
      <c r="K253" s="7">
        <f>I253*F253</f>
        <v>0.0</v>
      </c>
      <c r="L253" s="7">
        <f>J253*F253</f>
        <v>0.0</v>
      </c>
    </row>
    <row r="254" spans="1:12">
      <c r="A254" s="6" t="s">
        <v>368</v>
      </c>
      <c r="B254" s="6" t="s">
        <v>582</v>
      </c>
      <c r="C254" s="11" t="s">
        <v>583</v>
      </c>
      <c r="D254" s="6" t="s">
        <v>130</v>
      </c>
      <c r="E254" s="7">
        <v>8</v>
      </c>
      <c r="F254" s="7">
        <v>137984.35</v>
      </c>
      <c r="G254" s="7">
        <v>1103874.8</v>
      </c>
      <c r="H254" s="10">
        <v>0</v>
      </c>
      <c r="I254" s="10">
        <v>0</v>
      </c>
      <c r="J254" s="7">
        <f>H254+I254</f>
        <v>0.0</v>
      </c>
      <c r="K254" s="7">
        <f>I254*F254</f>
        <v>0.0</v>
      </c>
      <c r="L254" s="7">
        <f>J254*F254</f>
        <v>0.0</v>
      </c>
    </row>
    <row r="255" spans="1:12">
      <c r="A255" s="6" t="s">
        <v>584</v>
      </c>
      <c r="B255" s="6" t="s">
        <v>585</v>
      </c>
      <c r="C255" s="11" t="s">
        <v>586</v>
      </c>
      <c r="D255" s="6" t="s">
        <v>130</v>
      </c>
      <c r="E255" s="7">
        <v>3238</v>
      </c>
      <c r="F255" s="7">
        <v>7490.35</v>
      </c>
      <c r="G255" s="7">
        <v>24253753.3</v>
      </c>
      <c r="H255" s="10">
        <v>0</v>
      </c>
      <c r="I255" s="10">
        <v>0</v>
      </c>
      <c r="J255" s="7">
        <f>H255+I255</f>
        <v>0.0</v>
      </c>
      <c r="K255" s="7">
        <f>I255*F255</f>
        <v>0.0</v>
      </c>
      <c r="L255" s="7">
        <f>J255*F255</f>
        <v>0.0</v>
      </c>
    </row>
    <row r="256" spans="1:12">
      <c r="A256" s="6" t="s">
        <v>584</v>
      </c>
      <c r="B256" s="6" t="s">
        <v>587</v>
      </c>
      <c r="C256" s="11" t="s">
        <v>588</v>
      </c>
      <c r="D256" s="6" t="s">
        <v>130</v>
      </c>
      <c r="E256" s="7">
        <v>3</v>
      </c>
      <c r="F256" s="7">
        <v>12132.73</v>
      </c>
      <c r="G256" s="7">
        <v>36398.19</v>
      </c>
      <c r="H256" s="10">
        <v>0</v>
      </c>
      <c r="I256" s="10">
        <v>0</v>
      </c>
      <c r="J256" s="7">
        <f>H256+I256</f>
        <v>0.0</v>
      </c>
      <c r="K256" s="7">
        <f>I256*F256</f>
        <v>0.0</v>
      </c>
      <c r="L256" s="7">
        <f>J256*F256</f>
        <v>0.0</v>
      </c>
    </row>
    <row r="257" spans="1:12">
      <c r="A257" s="6" t="s">
        <v>584</v>
      </c>
      <c r="B257" s="6" t="s">
        <v>589</v>
      </c>
      <c r="C257" s="11" t="s">
        <v>590</v>
      </c>
      <c r="D257" s="6" t="s">
        <v>130</v>
      </c>
      <c r="E257" s="7">
        <v>59</v>
      </c>
      <c r="F257" s="7">
        <v>12838.63</v>
      </c>
      <c r="G257" s="7">
        <v>757479.17</v>
      </c>
      <c r="H257" s="10">
        <v>0.15</v>
      </c>
      <c r="I257" s="10">
        <v>0</v>
      </c>
      <c r="J257" s="7">
        <f>H257+I257</f>
        <v>0.15</v>
      </c>
      <c r="K257" s="7">
        <f>I257*F257</f>
        <v>0.0</v>
      </c>
      <c r="L257" s="7">
        <f>J257*F257</f>
        <v>1925.7944999999997</v>
      </c>
    </row>
    <row r="258" spans="1:12">
      <c r="A258" s="6" t="s">
        <v>584</v>
      </c>
      <c r="B258" s="6" t="s">
        <v>591</v>
      </c>
      <c r="C258" s="11" t="s">
        <v>592</v>
      </c>
      <c r="D258" s="6" t="s">
        <v>130</v>
      </c>
      <c r="E258" s="7">
        <v>90</v>
      </c>
      <c r="F258" s="7">
        <v>14816.41</v>
      </c>
      <c r="G258" s="7">
        <v>1333476.9</v>
      </c>
      <c r="H258" s="10">
        <v>2.4</v>
      </c>
      <c r="I258" s="10">
        <v>0</v>
      </c>
      <c r="J258" s="7">
        <f>H258+I258</f>
        <v>2.4</v>
      </c>
      <c r="K258" s="7">
        <f>I258*F258</f>
        <v>0.0</v>
      </c>
      <c r="L258" s="7">
        <f>J258*F258</f>
        <v>35559.384</v>
      </c>
    </row>
    <row r="259" spans="1:12">
      <c r="A259" s="6" t="s">
        <v>584</v>
      </c>
      <c r="B259" s="6" t="s">
        <v>593</v>
      </c>
      <c r="C259" s="11" t="s">
        <v>594</v>
      </c>
      <c r="D259" s="6" t="s">
        <v>130</v>
      </c>
      <c r="E259" s="7">
        <v>80</v>
      </c>
      <c r="F259" s="7">
        <v>18333.17</v>
      </c>
      <c r="G259" s="7">
        <v>1466653.6</v>
      </c>
      <c r="H259" s="10">
        <v>3.8</v>
      </c>
      <c r="I259" s="10">
        <v>0</v>
      </c>
      <c r="J259" s="7">
        <f>H259+I259</f>
        <v>3.8</v>
      </c>
      <c r="K259" s="7">
        <f>I259*F259</f>
        <v>0.0</v>
      </c>
      <c r="L259" s="7">
        <f>J259*F259</f>
        <v>69666.04599999999</v>
      </c>
    </row>
    <row r="260" spans="1:12">
      <c r="A260" s="6" t="s">
        <v>584</v>
      </c>
      <c r="B260" s="6" t="s">
        <v>595</v>
      </c>
      <c r="C260" s="11" t="s">
        <v>596</v>
      </c>
      <c r="D260" s="6" t="s">
        <v>130</v>
      </c>
      <c r="E260" s="7">
        <v>92</v>
      </c>
      <c r="F260" s="7">
        <v>19317.83</v>
      </c>
      <c r="G260" s="7">
        <v>1777240.36</v>
      </c>
      <c r="H260" s="10">
        <v>2.4</v>
      </c>
      <c r="I260" s="10">
        <v>0</v>
      </c>
      <c r="J260" s="7">
        <f>H260+I260</f>
        <v>2.4</v>
      </c>
      <c r="K260" s="7">
        <f>I260*F260</f>
        <v>0.0</v>
      </c>
      <c r="L260" s="7">
        <f>J260*F260</f>
        <v>46362.792</v>
      </c>
    </row>
    <row r="261" spans="1:12">
      <c r="A261" s="6" t="s">
        <v>584</v>
      </c>
      <c r="B261" s="6" t="s">
        <v>597</v>
      </c>
      <c r="C261" s="11" t="s">
        <v>598</v>
      </c>
      <c r="D261" s="6" t="s">
        <v>130</v>
      </c>
      <c r="E261" s="7">
        <v>86</v>
      </c>
      <c r="F261" s="7">
        <v>20848.33</v>
      </c>
      <c r="G261" s="7">
        <v>1792956.38</v>
      </c>
      <c r="H261" s="10">
        <v>0.7</v>
      </c>
      <c r="I261" s="10">
        <v>0</v>
      </c>
      <c r="J261" s="7">
        <f>H261+I261</f>
        <v>0.7</v>
      </c>
      <c r="K261" s="7">
        <f>I261*F261</f>
        <v>0.0</v>
      </c>
      <c r="L261" s="7">
        <f>J261*F261</f>
        <v>14593.831</v>
      </c>
    </row>
    <row r="262" spans="1:12">
      <c r="A262" s="6" t="s">
        <v>584</v>
      </c>
      <c r="B262" s="6" t="s">
        <v>599</v>
      </c>
      <c r="C262" s="11" t="s">
        <v>600</v>
      </c>
      <c r="D262" s="6" t="s">
        <v>130</v>
      </c>
      <c r="E262" s="7">
        <v>67</v>
      </c>
      <c r="F262" s="7">
        <v>22331.14</v>
      </c>
      <c r="G262" s="7">
        <v>1496186.38</v>
      </c>
      <c r="H262" s="10">
        <v>2.25</v>
      </c>
      <c r="I262" s="10">
        <v>0</v>
      </c>
      <c r="J262" s="7">
        <f>H262+I262</f>
        <v>2.25</v>
      </c>
      <c r="K262" s="7">
        <f>I262*F262</f>
        <v>0.0</v>
      </c>
      <c r="L262" s="7">
        <f>J262*F262</f>
        <v>50245.065</v>
      </c>
    </row>
    <row r="263" spans="1:12">
      <c r="A263" s="6" t="s">
        <v>584</v>
      </c>
      <c r="B263" s="6" t="s">
        <v>601</v>
      </c>
      <c r="C263" s="11" t="s">
        <v>602</v>
      </c>
      <c r="D263" s="6" t="s">
        <v>130</v>
      </c>
      <c r="E263" s="7">
        <v>52</v>
      </c>
      <c r="F263" s="7">
        <v>23462.05</v>
      </c>
      <c r="G263" s="7">
        <v>1220026.6</v>
      </c>
      <c r="H263" s="10">
        <v>0.5</v>
      </c>
      <c r="I263" s="10">
        <v>0</v>
      </c>
      <c r="J263" s="7">
        <f>H263+I263</f>
        <v>0.5</v>
      </c>
      <c r="K263" s="7">
        <f>I263*F263</f>
        <v>0.0</v>
      </c>
      <c r="L263" s="7">
        <f>J263*F263</f>
        <v>11731.025</v>
      </c>
    </row>
    <row r="264" spans="1:12">
      <c r="A264" s="6" t="s">
        <v>584</v>
      </c>
      <c r="B264" s="6" t="s">
        <v>603</v>
      </c>
      <c r="C264" s="11" t="s">
        <v>604</v>
      </c>
      <c r="D264" s="6" t="s">
        <v>130</v>
      </c>
      <c r="E264" s="7">
        <v>44</v>
      </c>
      <c r="F264" s="7">
        <v>24895.05</v>
      </c>
      <c r="G264" s="7">
        <v>1095382.2</v>
      </c>
      <c r="H264" s="10">
        <v>0.35</v>
      </c>
      <c r="I264" s="10">
        <v>0</v>
      </c>
      <c r="J264" s="7">
        <f>H264+I264</f>
        <v>0.35</v>
      </c>
      <c r="K264" s="7">
        <f>I264*F264</f>
        <v>0.0</v>
      </c>
      <c r="L264" s="7">
        <f>J264*F264</f>
        <v>8713.2675</v>
      </c>
    </row>
    <row r="265" spans="1:12">
      <c r="A265" s="6" t="s">
        <v>584</v>
      </c>
      <c r="B265" s="6" t="s">
        <v>605</v>
      </c>
      <c r="C265" s="11" t="s">
        <v>606</v>
      </c>
      <c r="D265" s="6" t="s">
        <v>130</v>
      </c>
      <c r="E265" s="7">
        <v>29</v>
      </c>
      <c r="F265" s="7">
        <v>26523.06</v>
      </c>
      <c r="G265" s="7">
        <v>769168.74</v>
      </c>
      <c r="H265" s="10">
        <v>2.1</v>
      </c>
      <c r="I265" s="10">
        <v>0</v>
      </c>
      <c r="J265" s="7">
        <f>H265+I265</f>
        <v>2.1</v>
      </c>
      <c r="K265" s="7">
        <f>I265*F265</f>
        <v>0.0</v>
      </c>
      <c r="L265" s="7">
        <f>J265*F265</f>
        <v>55698.42600000001</v>
      </c>
    </row>
    <row r="266" spans="1:12">
      <c r="A266" s="6" t="s">
        <v>584</v>
      </c>
      <c r="B266" s="6" t="s">
        <v>607</v>
      </c>
      <c r="C266" s="11" t="s">
        <v>608</v>
      </c>
      <c r="D266" s="6" t="s">
        <v>130</v>
      </c>
      <c r="E266" s="7">
        <v>16</v>
      </c>
      <c r="F266" s="7">
        <v>27557.53</v>
      </c>
      <c r="G266" s="7">
        <v>440920.48</v>
      </c>
      <c r="H266" s="10">
        <v>0</v>
      </c>
      <c r="I266" s="10">
        <v>0</v>
      </c>
      <c r="J266" s="7">
        <f>H266+I266</f>
        <v>0.0</v>
      </c>
      <c r="K266" s="7">
        <f>I266*F266</f>
        <v>0.0</v>
      </c>
      <c r="L266" s="7">
        <f>J266*F266</f>
        <v>0.0</v>
      </c>
    </row>
    <row r="267" spans="1:12">
      <c r="A267" s="6" t="s">
        <v>584</v>
      </c>
      <c r="B267" s="6" t="s">
        <v>609</v>
      </c>
      <c r="C267" s="11" t="s">
        <v>610</v>
      </c>
      <c r="D267" s="6" t="s">
        <v>130</v>
      </c>
      <c r="E267" s="7">
        <v>8</v>
      </c>
      <c r="F267" s="7">
        <v>29116.65</v>
      </c>
      <c r="G267" s="7">
        <v>232933.2</v>
      </c>
      <c r="H267" s="10">
        <v>0</v>
      </c>
      <c r="I267" s="10">
        <v>0</v>
      </c>
      <c r="J267" s="7">
        <f>H267+I267</f>
        <v>0.0</v>
      </c>
      <c r="K267" s="7">
        <f>I267*F267</f>
        <v>0.0</v>
      </c>
      <c r="L267" s="7">
        <f>J267*F267</f>
        <v>0.0</v>
      </c>
    </row>
    <row r="268" spans="1:12">
      <c r="A268" s="6" t="s">
        <v>584</v>
      </c>
      <c r="B268" s="6" t="s">
        <v>611</v>
      </c>
      <c r="C268" s="11" t="s">
        <v>612</v>
      </c>
      <c r="D268" s="6" t="s">
        <v>130</v>
      </c>
      <c r="E268" s="7">
        <v>2</v>
      </c>
      <c r="F268" s="7">
        <v>30630.19</v>
      </c>
      <c r="G268" s="7">
        <v>61260.38</v>
      </c>
      <c r="H268" s="10">
        <v>0</v>
      </c>
      <c r="I268" s="10">
        <v>0</v>
      </c>
      <c r="J268" s="7">
        <f>H268+I268</f>
        <v>0.0</v>
      </c>
      <c r="K268" s="7">
        <f>I268*F268</f>
        <v>0.0</v>
      </c>
      <c r="L268" s="7">
        <f>J268*F268</f>
        <v>0.0</v>
      </c>
    </row>
    <row r="269" spans="1:12">
      <c r="A269" s="6" t="s">
        <v>584</v>
      </c>
      <c r="B269" s="6" t="s">
        <v>613</v>
      </c>
      <c r="C269" s="11" t="s">
        <v>614</v>
      </c>
      <c r="D269" s="6" t="s">
        <v>130</v>
      </c>
      <c r="E269" s="7">
        <v>1</v>
      </c>
      <c r="F269" s="7">
        <v>31848.02</v>
      </c>
      <c r="G269" s="7">
        <v>31848.02</v>
      </c>
      <c r="H269" s="10">
        <v>0</v>
      </c>
      <c r="I269" s="10">
        <v>0</v>
      </c>
      <c r="J269" s="7">
        <f>H269+I269</f>
        <v>0.0</v>
      </c>
      <c r="K269" s="7">
        <f>I269*F269</f>
        <v>0.0</v>
      </c>
      <c r="L269" s="7">
        <f>J269*F269</f>
        <v>0.0</v>
      </c>
    </row>
    <row r="270" spans="1:12">
      <c r="A270" s="6" t="s">
        <v>584</v>
      </c>
      <c r="B270" s="6" t="s">
        <v>615</v>
      </c>
      <c r="C270" s="11" t="s">
        <v>616</v>
      </c>
      <c r="D270" s="6" t="s">
        <v>130</v>
      </c>
      <c r="E270" s="7">
        <v>1</v>
      </c>
      <c r="F270" s="7">
        <v>33371.11</v>
      </c>
      <c r="G270" s="7">
        <v>33371.11</v>
      </c>
      <c r="H270" s="10">
        <v>0</v>
      </c>
      <c r="I270" s="10">
        <v>0</v>
      </c>
      <c r="J270" s="7">
        <f>H270+I270</f>
        <v>0.0</v>
      </c>
      <c r="K270" s="7">
        <f>I270*F270</f>
        <v>0.0</v>
      </c>
      <c r="L270" s="7">
        <f>J270*F270</f>
        <v>0.0</v>
      </c>
    </row>
    <row r="271" spans="1:12">
      <c r="A271" s="6" t="s">
        <v>584</v>
      </c>
      <c r="B271" s="6" t="s">
        <v>617</v>
      </c>
      <c r="C271" s="11" t="s">
        <v>618</v>
      </c>
      <c r="D271" s="6" t="s">
        <v>130</v>
      </c>
      <c r="E271" s="7">
        <v>2</v>
      </c>
      <c r="F271" s="7">
        <v>36033.59</v>
      </c>
      <c r="G271" s="7">
        <v>72067.17999999999</v>
      </c>
      <c r="H271" s="10">
        <v>0</v>
      </c>
      <c r="I271" s="10">
        <v>0</v>
      </c>
      <c r="J271" s="7">
        <f>H271+I271</f>
        <v>0.0</v>
      </c>
      <c r="K271" s="7">
        <f>I271*F271</f>
        <v>0.0</v>
      </c>
      <c r="L271" s="7">
        <f>J271*F271</f>
        <v>0.0</v>
      </c>
    </row>
    <row r="272" spans="1:12">
      <c r="A272" s="6" t="s">
        <v>584</v>
      </c>
      <c r="B272" s="6" t="s">
        <v>619</v>
      </c>
      <c r="C272" s="11" t="s">
        <v>620</v>
      </c>
      <c r="D272" s="6" t="s">
        <v>130</v>
      </c>
      <c r="E272" s="7">
        <v>4</v>
      </c>
      <c r="F272" s="7">
        <v>37780.31</v>
      </c>
      <c r="G272" s="7">
        <v>151121.24</v>
      </c>
      <c r="H272" s="10">
        <v>0</v>
      </c>
      <c r="I272" s="10">
        <v>0</v>
      </c>
      <c r="J272" s="7">
        <f>H272+I272</f>
        <v>0.0</v>
      </c>
      <c r="K272" s="7">
        <f>I272*F272</f>
        <v>0.0</v>
      </c>
      <c r="L272" s="7">
        <f>J272*F272</f>
        <v>0.0</v>
      </c>
    </row>
    <row r="273" spans="1:12">
      <c r="A273" s="6" t="s">
        <v>584</v>
      </c>
      <c r="B273" s="6" t="s">
        <v>621</v>
      </c>
      <c r="C273" s="11" t="s">
        <v>622</v>
      </c>
      <c r="D273" s="6" t="s">
        <v>130</v>
      </c>
      <c r="E273" s="7">
        <v>1</v>
      </c>
      <c r="F273" s="7">
        <v>39358.51</v>
      </c>
      <c r="G273" s="7">
        <v>39358.51</v>
      </c>
      <c r="H273" s="10">
        <v>0</v>
      </c>
      <c r="I273" s="10">
        <v>0</v>
      </c>
      <c r="J273" s="7">
        <f>H273+I273</f>
        <v>0.0</v>
      </c>
      <c r="K273" s="7">
        <f>I273*F273</f>
        <v>0.0</v>
      </c>
      <c r="L273" s="7">
        <f>J273*F273</f>
        <v>0.0</v>
      </c>
    </row>
    <row r="274" spans="1:12">
      <c r="A274" s="6" t="s">
        <v>584</v>
      </c>
      <c r="B274" s="6" t="s">
        <v>623</v>
      </c>
      <c r="C274" s="11" t="s">
        <v>624</v>
      </c>
      <c r="D274" s="6" t="s">
        <v>130</v>
      </c>
      <c r="E274" s="7">
        <v>4</v>
      </c>
      <c r="F274" s="7">
        <v>31797.15</v>
      </c>
      <c r="G274" s="7">
        <v>127188.6</v>
      </c>
      <c r="H274" s="10">
        <v>0</v>
      </c>
      <c r="I274" s="10">
        <v>0</v>
      </c>
      <c r="J274" s="7">
        <f>H274+I274</f>
        <v>0.0</v>
      </c>
      <c r="K274" s="7">
        <f>I274*F274</f>
        <v>0.0</v>
      </c>
      <c r="L274" s="7">
        <f>J274*F274</f>
        <v>0.0</v>
      </c>
    </row>
    <row r="275" spans="1:12">
      <c r="A275" s="6" t="s">
        <v>584</v>
      </c>
      <c r="B275" s="6" t="s">
        <v>625</v>
      </c>
      <c r="C275" s="11" t="s">
        <v>626</v>
      </c>
      <c r="D275" s="6" t="s">
        <v>130</v>
      </c>
      <c r="E275" s="7">
        <v>16</v>
      </c>
      <c r="F275" s="7">
        <v>34044.14</v>
      </c>
      <c r="G275" s="7">
        <v>544706.24</v>
      </c>
      <c r="H275" s="10">
        <v>0</v>
      </c>
      <c r="I275" s="10">
        <v>0</v>
      </c>
      <c r="J275" s="7">
        <f>H275+I275</f>
        <v>0.0</v>
      </c>
      <c r="K275" s="7">
        <f>I275*F275</f>
        <v>0.0</v>
      </c>
      <c r="L275" s="7">
        <f>J275*F275</f>
        <v>0.0</v>
      </c>
    </row>
    <row r="276" spans="1:12">
      <c r="A276" s="6" t="s">
        <v>584</v>
      </c>
      <c r="B276" s="6" t="s">
        <v>627</v>
      </c>
      <c r="C276" s="11" t="s">
        <v>628</v>
      </c>
      <c r="D276" s="6" t="s">
        <v>130</v>
      </c>
      <c r="E276" s="7">
        <v>27</v>
      </c>
      <c r="F276" s="7">
        <v>37971.09</v>
      </c>
      <c r="G276" s="7">
        <v>1025219.43</v>
      </c>
      <c r="H276" s="10">
        <v>0</v>
      </c>
      <c r="I276" s="10">
        <v>0</v>
      </c>
      <c r="J276" s="7">
        <f>H276+I276</f>
        <v>0.0</v>
      </c>
      <c r="K276" s="7">
        <f>I276*F276</f>
        <v>0.0</v>
      </c>
      <c r="L276" s="7">
        <f>J276*F276</f>
        <v>0.0</v>
      </c>
    </row>
    <row r="277" spans="1:12">
      <c r="A277" s="6" t="s">
        <v>584</v>
      </c>
      <c r="B277" s="6" t="s">
        <v>629</v>
      </c>
      <c r="C277" s="11" t="s">
        <v>630</v>
      </c>
      <c r="D277" s="6" t="s">
        <v>130</v>
      </c>
      <c r="E277" s="7">
        <v>27</v>
      </c>
      <c r="F277" s="7">
        <v>41496.34</v>
      </c>
      <c r="G277" s="7">
        <v>1120401.18</v>
      </c>
      <c r="H277" s="10">
        <v>0</v>
      </c>
      <c r="I277" s="10">
        <v>0</v>
      </c>
      <c r="J277" s="7">
        <f>H277+I277</f>
        <v>0.0</v>
      </c>
      <c r="K277" s="7">
        <f>I277*F277</f>
        <v>0.0</v>
      </c>
      <c r="L277" s="7">
        <f>J277*F277</f>
        <v>0.0</v>
      </c>
    </row>
    <row r="278" spans="1:12">
      <c r="A278" s="6" t="s">
        <v>584</v>
      </c>
      <c r="B278" s="6" t="s">
        <v>631</v>
      </c>
      <c r="C278" s="11" t="s">
        <v>632</v>
      </c>
      <c r="D278" s="6" t="s">
        <v>130</v>
      </c>
      <c r="E278" s="7">
        <v>17</v>
      </c>
      <c r="F278" s="7">
        <v>44163.06</v>
      </c>
      <c r="G278" s="7">
        <v>750772.02</v>
      </c>
      <c r="H278" s="10">
        <v>0</v>
      </c>
      <c r="I278" s="10">
        <v>0</v>
      </c>
      <c r="J278" s="7">
        <f>H278+I278</f>
        <v>0.0</v>
      </c>
      <c r="K278" s="7">
        <f>I278*F278</f>
        <v>0.0</v>
      </c>
      <c r="L278" s="7">
        <f>J278*F278</f>
        <v>0.0</v>
      </c>
    </row>
    <row r="279" spans="1:12">
      <c r="A279" s="6" t="s">
        <v>584</v>
      </c>
      <c r="B279" s="6" t="s">
        <v>633</v>
      </c>
      <c r="C279" s="11" t="s">
        <v>634</v>
      </c>
      <c r="D279" s="6" t="s">
        <v>130</v>
      </c>
      <c r="E279" s="7">
        <v>22</v>
      </c>
      <c r="F279" s="7">
        <v>47687.24</v>
      </c>
      <c r="G279" s="7">
        <v>1049119.28</v>
      </c>
      <c r="H279" s="10">
        <v>0</v>
      </c>
      <c r="I279" s="10">
        <v>0</v>
      </c>
      <c r="J279" s="7">
        <f>H279+I279</f>
        <v>0.0</v>
      </c>
      <c r="K279" s="7">
        <f>I279*F279</f>
        <v>0.0</v>
      </c>
      <c r="L279" s="7">
        <f>J279*F279</f>
        <v>0.0</v>
      </c>
    </row>
    <row r="280" spans="1:12">
      <c r="A280" s="6" t="s">
        <v>584</v>
      </c>
      <c r="B280" s="6" t="s">
        <v>635</v>
      </c>
      <c r="C280" s="11" t="s">
        <v>636</v>
      </c>
      <c r="D280" s="6" t="s">
        <v>130</v>
      </c>
      <c r="E280" s="7">
        <v>32</v>
      </c>
      <c r="F280" s="7">
        <v>51211.42</v>
      </c>
      <c r="G280" s="7">
        <v>1638765.44</v>
      </c>
      <c r="H280" s="10">
        <v>0</v>
      </c>
      <c r="I280" s="10">
        <v>0</v>
      </c>
      <c r="J280" s="7">
        <f>H280+I280</f>
        <v>0.0</v>
      </c>
      <c r="K280" s="7">
        <f>I280*F280</f>
        <v>0.0</v>
      </c>
      <c r="L280" s="7">
        <f>J280*F280</f>
        <v>0.0</v>
      </c>
    </row>
    <row r="281" spans="1:12">
      <c r="A281" s="6" t="s">
        <v>584</v>
      </c>
      <c r="B281" s="6" t="s">
        <v>637</v>
      </c>
      <c r="C281" s="11" t="s">
        <v>638</v>
      </c>
      <c r="D281" s="6" t="s">
        <v>130</v>
      </c>
      <c r="E281" s="7">
        <v>18</v>
      </c>
      <c r="F281" s="7">
        <v>53459.48</v>
      </c>
      <c r="G281" s="7">
        <v>962270.64</v>
      </c>
      <c r="H281" s="10">
        <v>0</v>
      </c>
      <c r="I281" s="10">
        <v>0</v>
      </c>
      <c r="J281" s="7">
        <f>H281+I281</f>
        <v>0.0</v>
      </c>
      <c r="K281" s="7">
        <f>I281*F281</f>
        <v>0.0</v>
      </c>
      <c r="L281" s="7">
        <f>J281*F281</f>
        <v>0.0</v>
      </c>
    </row>
    <row r="282" spans="1:12">
      <c r="A282" s="6" t="s">
        <v>584</v>
      </c>
      <c r="B282" s="6" t="s">
        <v>639</v>
      </c>
      <c r="C282" s="11" t="s">
        <v>640</v>
      </c>
      <c r="D282" s="6" t="s">
        <v>130</v>
      </c>
      <c r="E282" s="7">
        <v>14</v>
      </c>
      <c r="F282" s="7">
        <v>56983.67</v>
      </c>
      <c r="G282" s="7">
        <v>797771.38</v>
      </c>
      <c r="H282" s="10">
        <v>0</v>
      </c>
      <c r="I282" s="10">
        <v>0</v>
      </c>
      <c r="J282" s="7">
        <f>H282+I282</f>
        <v>0.0</v>
      </c>
      <c r="K282" s="7">
        <f>I282*F282</f>
        <v>0.0</v>
      </c>
      <c r="L282" s="7">
        <f>J282*F282</f>
        <v>0.0</v>
      </c>
    </row>
    <row r="283" spans="1:12">
      <c r="A283" s="6" t="s">
        <v>584</v>
      </c>
      <c r="B283" s="6" t="s">
        <v>641</v>
      </c>
      <c r="C283" s="11" t="s">
        <v>642</v>
      </c>
      <c r="D283" s="6" t="s">
        <v>130</v>
      </c>
      <c r="E283" s="7">
        <v>5</v>
      </c>
      <c r="F283" s="7">
        <v>61242.36</v>
      </c>
      <c r="G283" s="7">
        <v>306211.8</v>
      </c>
      <c r="H283" s="10">
        <v>0</v>
      </c>
      <c r="I283" s="10">
        <v>0</v>
      </c>
      <c r="J283" s="7">
        <f>H283+I283</f>
        <v>0.0</v>
      </c>
      <c r="K283" s="7">
        <f>I283*F283</f>
        <v>0.0</v>
      </c>
      <c r="L283" s="7">
        <f>J283*F283</f>
        <v>0.0</v>
      </c>
    </row>
    <row r="284" spans="1:12">
      <c r="A284" s="6" t="s">
        <v>584</v>
      </c>
      <c r="B284" s="6" t="s">
        <v>643</v>
      </c>
      <c r="C284" s="11" t="s">
        <v>644</v>
      </c>
      <c r="D284" s="6" t="s">
        <v>130</v>
      </c>
      <c r="E284" s="7">
        <v>6</v>
      </c>
      <c r="F284" s="7">
        <v>64767.61</v>
      </c>
      <c r="G284" s="7">
        <v>388605.66</v>
      </c>
      <c r="H284" s="10">
        <v>0</v>
      </c>
      <c r="I284" s="10">
        <v>0</v>
      </c>
      <c r="J284" s="7">
        <f>H284+I284</f>
        <v>0.0</v>
      </c>
      <c r="K284" s="7">
        <f>I284*F284</f>
        <v>0.0</v>
      </c>
      <c r="L284" s="7">
        <f>J284*F284</f>
        <v>0.0</v>
      </c>
    </row>
    <row r="285" spans="1:12">
      <c r="A285" s="6" t="s">
        <v>584</v>
      </c>
      <c r="B285" s="6" t="s">
        <v>645</v>
      </c>
      <c r="C285" s="11" t="s">
        <v>646</v>
      </c>
      <c r="D285" s="6" t="s">
        <v>130</v>
      </c>
      <c r="E285" s="7">
        <v>2</v>
      </c>
      <c r="F285" s="7">
        <v>67013.55</v>
      </c>
      <c r="G285" s="7">
        <v>134027.1</v>
      </c>
      <c r="H285" s="10">
        <v>0</v>
      </c>
      <c r="I285" s="10">
        <v>0</v>
      </c>
      <c r="J285" s="7">
        <f>H285+I285</f>
        <v>0.0</v>
      </c>
      <c r="K285" s="7">
        <f>I285*F285</f>
        <v>0.0</v>
      </c>
      <c r="L285" s="7">
        <f>J285*F285</f>
        <v>0.0</v>
      </c>
    </row>
    <row r="286" spans="1:12">
      <c r="A286" s="6" t="s">
        <v>584</v>
      </c>
      <c r="B286" s="6" t="s">
        <v>647</v>
      </c>
      <c r="C286" s="11" t="s">
        <v>648</v>
      </c>
      <c r="D286" s="6" t="s">
        <v>130</v>
      </c>
      <c r="E286" s="7">
        <v>2</v>
      </c>
      <c r="F286" s="7">
        <v>70958.50999999999</v>
      </c>
      <c r="G286" s="7">
        <v>141917.02</v>
      </c>
      <c r="H286" s="10">
        <v>0</v>
      </c>
      <c r="I286" s="10">
        <v>0</v>
      </c>
      <c r="J286" s="7">
        <f>H286+I286</f>
        <v>0.0</v>
      </c>
      <c r="K286" s="7">
        <f>I286*F286</f>
        <v>0.0</v>
      </c>
      <c r="L286" s="7">
        <f>J286*F286</f>
        <v>0.0</v>
      </c>
    </row>
    <row r="287" spans="1:12">
      <c r="A287" s="6" t="s">
        <v>584</v>
      </c>
      <c r="B287" s="6" t="s">
        <v>649</v>
      </c>
      <c r="C287" s="11" t="s">
        <v>650</v>
      </c>
      <c r="D287" s="6" t="s">
        <v>130</v>
      </c>
      <c r="E287" s="7">
        <v>1</v>
      </c>
      <c r="F287" s="7">
        <v>74902.42</v>
      </c>
      <c r="G287" s="7">
        <v>74902.42</v>
      </c>
      <c r="H287" s="10">
        <v>0</v>
      </c>
      <c r="I287" s="10">
        <v>0</v>
      </c>
      <c r="J287" s="7">
        <f>H287+I287</f>
        <v>0.0</v>
      </c>
      <c r="K287" s="7">
        <f>I287*F287</f>
        <v>0.0</v>
      </c>
      <c r="L287" s="7">
        <f>J287*F287</f>
        <v>0.0</v>
      </c>
    </row>
    <row r="288" spans="1:12">
      <c r="A288" s="6" t="s">
        <v>584</v>
      </c>
      <c r="B288" s="6" t="s">
        <v>651</v>
      </c>
      <c r="C288" s="11" t="s">
        <v>652</v>
      </c>
      <c r="D288" s="6" t="s">
        <v>130</v>
      </c>
      <c r="E288" s="7">
        <v>1</v>
      </c>
      <c r="F288" s="7">
        <v>77150.48</v>
      </c>
      <c r="G288" s="7">
        <v>77150.48</v>
      </c>
      <c r="H288" s="10">
        <v>0</v>
      </c>
      <c r="I288" s="10">
        <v>0</v>
      </c>
      <c r="J288" s="7">
        <f>H288+I288</f>
        <v>0.0</v>
      </c>
      <c r="K288" s="7">
        <f>I288*F288</f>
        <v>0.0</v>
      </c>
      <c r="L288" s="7">
        <f>J288*F288</f>
        <v>0.0</v>
      </c>
    </row>
    <row r="289" spans="1:12">
      <c r="A289" s="6" t="s">
        <v>584</v>
      </c>
      <c r="B289" s="6" t="s">
        <v>653</v>
      </c>
      <c r="C289" s="11" t="s">
        <v>654</v>
      </c>
      <c r="D289" s="6" t="s">
        <v>130</v>
      </c>
      <c r="E289" s="7">
        <v>1</v>
      </c>
      <c r="F289" s="7">
        <v>81094.38</v>
      </c>
      <c r="G289" s="7">
        <v>81094.38</v>
      </c>
      <c r="H289" s="10">
        <v>0</v>
      </c>
      <c r="I289" s="10">
        <v>0</v>
      </c>
      <c r="J289" s="7">
        <f>H289+I289</f>
        <v>0.0</v>
      </c>
      <c r="K289" s="7">
        <f>I289*F289</f>
        <v>0.0</v>
      </c>
      <c r="L289" s="7">
        <f>J289*F289</f>
        <v>0.0</v>
      </c>
    </row>
    <row r="290" spans="1:12">
      <c r="A290" s="6" t="s">
        <v>584</v>
      </c>
      <c r="B290" s="6" t="s">
        <v>655</v>
      </c>
      <c r="C290" s="11" t="s">
        <v>656</v>
      </c>
      <c r="D290" s="6" t="s">
        <v>130</v>
      </c>
      <c r="E290" s="7">
        <v>1</v>
      </c>
      <c r="F290" s="7">
        <v>82922.72</v>
      </c>
      <c r="G290" s="7">
        <v>82922.72</v>
      </c>
      <c r="H290" s="10">
        <v>0</v>
      </c>
      <c r="I290" s="10">
        <v>0</v>
      </c>
      <c r="J290" s="7">
        <f>H290+I290</f>
        <v>0.0</v>
      </c>
      <c r="K290" s="7">
        <f>I290*F290</f>
        <v>0.0</v>
      </c>
      <c r="L290" s="7">
        <f>J290*F290</f>
        <v>0.0</v>
      </c>
    </row>
    <row r="291" spans="1:12">
      <c r="A291" s="6" t="s">
        <v>584</v>
      </c>
      <c r="B291" s="6" t="s">
        <v>657</v>
      </c>
      <c r="C291" s="11" t="s">
        <v>658</v>
      </c>
      <c r="D291" s="6" t="s">
        <v>130</v>
      </c>
      <c r="E291" s="7">
        <v>9</v>
      </c>
      <c r="F291" s="7">
        <v>45640.56</v>
      </c>
      <c r="G291" s="7">
        <v>410765.04</v>
      </c>
      <c r="H291" s="10">
        <v>0.08</v>
      </c>
      <c r="I291" s="10">
        <v>0</v>
      </c>
      <c r="J291" s="7">
        <f>H291+I291</f>
        <v>0.08</v>
      </c>
      <c r="K291" s="7">
        <f>I291*F291</f>
        <v>0.0</v>
      </c>
      <c r="L291" s="7">
        <f>J291*F291</f>
        <v>3651.2448</v>
      </c>
    </row>
    <row r="292" spans="1:12">
      <c r="A292" s="6" t="s">
        <v>584</v>
      </c>
      <c r="B292" s="6" t="s">
        <v>659</v>
      </c>
      <c r="C292" s="11" t="s">
        <v>660</v>
      </c>
      <c r="D292" s="6" t="s">
        <v>130</v>
      </c>
      <c r="E292" s="7">
        <v>13</v>
      </c>
      <c r="F292" s="7">
        <v>50166.36</v>
      </c>
      <c r="G292" s="7">
        <v>652162.6800000001</v>
      </c>
      <c r="H292" s="10">
        <v>0</v>
      </c>
      <c r="I292" s="10">
        <v>0</v>
      </c>
      <c r="J292" s="7">
        <f>H292+I292</f>
        <v>0.0</v>
      </c>
      <c r="K292" s="7">
        <f>I292*F292</f>
        <v>0.0</v>
      </c>
      <c r="L292" s="7">
        <f>J292*F292</f>
        <v>0.0</v>
      </c>
    </row>
    <row r="293" spans="1:12">
      <c r="A293" s="6" t="s">
        <v>584</v>
      </c>
      <c r="B293" s="6" t="s">
        <v>661</v>
      </c>
      <c r="C293" s="11" t="s">
        <v>662</v>
      </c>
      <c r="D293" s="6" t="s">
        <v>130</v>
      </c>
      <c r="E293" s="7">
        <v>15</v>
      </c>
      <c r="F293" s="7">
        <v>52294.65</v>
      </c>
      <c r="G293" s="7">
        <v>784419.75</v>
      </c>
      <c r="H293" s="10">
        <v>0.15</v>
      </c>
      <c r="I293" s="10">
        <v>0</v>
      </c>
      <c r="J293" s="7">
        <f>H293+I293</f>
        <v>0.15</v>
      </c>
      <c r="K293" s="7">
        <f>I293*F293</f>
        <v>0.0</v>
      </c>
      <c r="L293" s="7">
        <f>J293*F293</f>
        <v>7844.1975</v>
      </c>
    </row>
    <row r="294" spans="1:12">
      <c r="A294" s="6" t="s">
        <v>584</v>
      </c>
      <c r="B294" s="6" t="s">
        <v>663</v>
      </c>
      <c r="C294" s="11" t="s">
        <v>664</v>
      </c>
      <c r="D294" s="6" t="s">
        <v>130</v>
      </c>
      <c r="E294" s="7">
        <v>23</v>
      </c>
      <c r="F294" s="7">
        <v>56820.44</v>
      </c>
      <c r="G294" s="7">
        <v>1306870.12</v>
      </c>
      <c r="H294" s="10">
        <v>1.4</v>
      </c>
      <c r="I294" s="10">
        <v>0</v>
      </c>
      <c r="J294" s="7">
        <f>H294+I294</f>
        <v>1.4</v>
      </c>
      <c r="K294" s="7">
        <f>I294*F294</f>
        <v>0.0</v>
      </c>
      <c r="L294" s="7">
        <f>J294*F294</f>
        <v>79548.616</v>
      </c>
    </row>
    <row r="295" spans="1:12">
      <c r="A295" s="6" t="s">
        <v>584</v>
      </c>
      <c r="B295" s="6" t="s">
        <v>665</v>
      </c>
      <c r="C295" s="11" t="s">
        <v>666</v>
      </c>
      <c r="D295" s="6" t="s">
        <v>130</v>
      </c>
      <c r="E295" s="7">
        <v>28</v>
      </c>
      <c r="F295" s="7">
        <v>61346.23</v>
      </c>
      <c r="G295" s="7">
        <v>1717694.44</v>
      </c>
      <c r="H295" s="10">
        <v>0.5</v>
      </c>
      <c r="I295" s="10">
        <v>0</v>
      </c>
      <c r="J295" s="7">
        <f>H295+I295</f>
        <v>0.5</v>
      </c>
      <c r="K295" s="7">
        <f>I295*F295</f>
        <v>0.0</v>
      </c>
      <c r="L295" s="7">
        <f>J295*F295</f>
        <v>30673.115</v>
      </c>
    </row>
    <row r="296" spans="1:12">
      <c r="A296" s="6" t="s">
        <v>584</v>
      </c>
      <c r="B296" s="6" t="s">
        <v>667</v>
      </c>
      <c r="C296" s="11" t="s">
        <v>668</v>
      </c>
      <c r="D296" s="6" t="s">
        <v>130</v>
      </c>
      <c r="E296" s="7">
        <v>22</v>
      </c>
      <c r="F296" s="7">
        <v>63949.36</v>
      </c>
      <c r="G296" s="7">
        <v>1406885.92</v>
      </c>
      <c r="H296" s="10">
        <v>0.3</v>
      </c>
      <c r="I296" s="10">
        <v>0</v>
      </c>
      <c r="J296" s="7">
        <f>H296+I296</f>
        <v>0.3</v>
      </c>
      <c r="K296" s="7">
        <f>I296*F296</f>
        <v>0.0</v>
      </c>
      <c r="L296" s="7">
        <f>J296*F296</f>
        <v>19184.808</v>
      </c>
    </row>
    <row r="297" spans="1:12">
      <c r="A297" s="6" t="s">
        <v>584</v>
      </c>
      <c r="B297" s="6" t="s">
        <v>669</v>
      </c>
      <c r="C297" s="11" t="s">
        <v>670</v>
      </c>
      <c r="D297" s="6" t="s">
        <v>130</v>
      </c>
      <c r="E297" s="7">
        <v>20</v>
      </c>
      <c r="F297" s="7">
        <v>68001.38</v>
      </c>
      <c r="G297" s="7">
        <v>1360027.6</v>
      </c>
      <c r="H297" s="10">
        <v>0.6</v>
      </c>
      <c r="I297" s="10">
        <v>0</v>
      </c>
      <c r="J297" s="7">
        <f>H297+I297</f>
        <v>0.6</v>
      </c>
      <c r="K297" s="7">
        <f>I297*F297</f>
        <v>0.0</v>
      </c>
      <c r="L297" s="7">
        <f>J297*F297</f>
        <v>40800.828</v>
      </c>
    </row>
    <row r="298" spans="1:12">
      <c r="A298" s="6" t="s">
        <v>584</v>
      </c>
      <c r="B298" s="6" t="s">
        <v>671</v>
      </c>
      <c r="C298" s="11" t="s">
        <v>672</v>
      </c>
      <c r="D298" s="6" t="s">
        <v>130</v>
      </c>
      <c r="E298" s="7">
        <v>15</v>
      </c>
      <c r="F298" s="7">
        <v>72527.17</v>
      </c>
      <c r="G298" s="7">
        <v>1087907.55</v>
      </c>
      <c r="H298" s="10">
        <v>0.15</v>
      </c>
      <c r="I298" s="10">
        <v>0</v>
      </c>
      <c r="J298" s="7">
        <f>H298+I298</f>
        <v>0.15</v>
      </c>
      <c r="K298" s="7">
        <f>I298*F298</f>
        <v>0.0</v>
      </c>
      <c r="L298" s="7">
        <f>J298*F298</f>
        <v>10879.075499999999</v>
      </c>
    </row>
    <row r="299" spans="1:12">
      <c r="A299" s="6" t="s">
        <v>584</v>
      </c>
      <c r="B299" s="6" t="s">
        <v>673</v>
      </c>
      <c r="C299" s="11" t="s">
        <v>674</v>
      </c>
      <c r="D299" s="6" t="s">
        <v>130</v>
      </c>
      <c r="E299" s="7">
        <v>17</v>
      </c>
      <c r="F299" s="7">
        <v>75130.3</v>
      </c>
      <c r="G299" s="7">
        <v>1277215.1</v>
      </c>
      <c r="H299" s="10">
        <v>0.15</v>
      </c>
      <c r="I299" s="10">
        <v>0</v>
      </c>
      <c r="J299" s="7">
        <f>H299+I299</f>
        <v>0.15</v>
      </c>
      <c r="K299" s="7">
        <f>I299*F299</f>
        <v>0.0</v>
      </c>
      <c r="L299" s="7">
        <f>J299*F299</f>
        <v>11269.545</v>
      </c>
    </row>
    <row r="300" spans="1:12">
      <c r="A300" s="6" t="s">
        <v>584</v>
      </c>
      <c r="B300" s="6" t="s">
        <v>675</v>
      </c>
      <c r="C300" s="11" t="s">
        <v>676</v>
      </c>
      <c r="D300" s="6" t="s">
        <v>130</v>
      </c>
      <c r="E300" s="7">
        <v>14</v>
      </c>
      <c r="F300" s="7">
        <v>79181.25</v>
      </c>
      <c r="G300" s="7">
        <v>1108537.5</v>
      </c>
      <c r="H300" s="10">
        <v>0</v>
      </c>
      <c r="I300" s="10">
        <v>0</v>
      </c>
      <c r="J300" s="7">
        <f>H300+I300</f>
        <v>0.0</v>
      </c>
      <c r="K300" s="7">
        <f>I300*F300</f>
        <v>0.0</v>
      </c>
      <c r="L300" s="7">
        <f>J300*F300</f>
        <v>0.0</v>
      </c>
    </row>
    <row r="301" spans="1:12">
      <c r="A301" s="6" t="s">
        <v>584</v>
      </c>
      <c r="B301" s="6" t="s">
        <v>677</v>
      </c>
      <c r="C301" s="11" t="s">
        <v>678</v>
      </c>
      <c r="D301" s="6" t="s">
        <v>130</v>
      </c>
      <c r="E301" s="7">
        <v>6</v>
      </c>
      <c r="F301" s="7">
        <v>81784.38</v>
      </c>
      <c r="G301" s="7">
        <v>490706.28</v>
      </c>
      <c r="H301" s="10">
        <v>0</v>
      </c>
      <c r="I301" s="10">
        <v>0</v>
      </c>
      <c r="J301" s="7">
        <f>H301+I301</f>
        <v>0.0</v>
      </c>
      <c r="K301" s="7">
        <f>I301*F301</f>
        <v>0.0</v>
      </c>
      <c r="L301" s="7">
        <f>J301*F301</f>
        <v>0.0</v>
      </c>
    </row>
    <row r="302" spans="1:12">
      <c r="A302" s="6" t="s">
        <v>584</v>
      </c>
      <c r="B302" s="6" t="s">
        <v>679</v>
      </c>
      <c r="C302" s="11" t="s">
        <v>680</v>
      </c>
      <c r="D302" s="6" t="s">
        <v>130</v>
      </c>
      <c r="E302" s="7">
        <v>4</v>
      </c>
      <c r="F302" s="7">
        <v>86310.17</v>
      </c>
      <c r="G302" s="7">
        <v>345240.68</v>
      </c>
      <c r="H302" s="10">
        <v>0</v>
      </c>
      <c r="I302" s="10">
        <v>0</v>
      </c>
      <c r="J302" s="7">
        <f>H302+I302</f>
        <v>0.0</v>
      </c>
      <c r="K302" s="7">
        <f>I302*F302</f>
        <v>0.0</v>
      </c>
      <c r="L302" s="7">
        <f>J302*F302</f>
        <v>0.0</v>
      </c>
    </row>
    <row r="303" spans="1:12">
      <c r="A303" s="6" t="s">
        <v>584</v>
      </c>
      <c r="B303" s="6" t="s">
        <v>681</v>
      </c>
      <c r="C303" s="11" t="s">
        <v>682</v>
      </c>
      <c r="D303" s="6" t="s">
        <v>130</v>
      </c>
      <c r="E303" s="7">
        <v>1</v>
      </c>
      <c r="F303" s="7">
        <v>90838.09</v>
      </c>
      <c r="G303" s="7">
        <v>90838.09</v>
      </c>
      <c r="H303" s="10">
        <v>0</v>
      </c>
      <c r="I303" s="10">
        <v>0</v>
      </c>
      <c r="J303" s="7">
        <f>H303+I303</f>
        <v>0.0</v>
      </c>
      <c r="K303" s="7">
        <f>I303*F303</f>
        <v>0.0</v>
      </c>
      <c r="L303" s="7">
        <f>J303*F303</f>
        <v>0.0</v>
      </c>
    </row>
    <row r="304" spans="1:12">
      <c r="A304" s="6" t="s">
        <v>584</v>
      </c>
      <c r="B304" s="6" t="s">
        <v>683</v>
      </c>
      <c r="C304" s="11" t="s">
        <v>684</v>
      </c>
      <c r="D304" s="6" t="s">
        <v>130</v>
      </c>
      <c r="E304" s="7">
        <v>1</v>
      </c>
      <c r="F304" s="7">
        <v>94887.98</v>
      </c>
      <c r="G304" s="7">
        <v>94887.98</v>
      </c>
      <c r="H304" s="10">
        <v>0</v>
      </c>
      <c r="I304" s="10">
        <v>0</v>
      </c>
      <c r="J304" s="7">
        <f>H304+I304</f>
        <v>0.0</v>
      </c>
      <c r="K304" s="7">
        <f>I304*F304</f>
        <v>0.0</v>
      </c>
      <c r="L304" s="7">
        <f>J304*F304</f>
        <v>0.0</v>
      </c>
    </row>
    <row r="305" spans="1:12">
      <c r="A305" s="6" t="s">
        <v>584</v>
      </c>
      <c r="B305" s="6" t="s">
        <v>685</v>
      </c>
      <c r="C305" s="11" t="s">
        <v>686</v>
      </c>
      <c r="D305" s="6" t="s">
        <v>130</v>
      </c>
      <c r="E305" s="7">
        <v>2</v>
      </c>
      <c r="F305" s="7">
        <v>13233.97</v>
      </c>
      <c r="G305" s="7">
        <v>26467.94</v>
      </c>
      <c r="H305" s="10">
        <v>0</v>
      </c>
      <c r="I305" s="10">
        <v>0</v>
      </c>
      <c r="J305" s="7">
        <f>H305+I305</f>
        <v>0.0</v>
      </c>
      <c r="K305" s="7">
        <f>I305*F305</f>
        <v>0.0</v>
      </c>
      <c r="L305" s="7">
        <f>J305*F305</f>
        <v>0.0</v>
      </c>
    </row>
    <row r="306" spans="1:12">
      <c r="A306" s="6" t="s">
        <v>584</v>
      </c>
      <c r="B306" s="6" t="s">
        <v>687</v>
      </c>
      <c r="C306" s="11" t="s">
        <v>688</v>
      </c>
      <c r="D306" s="6" t="s">
        <v>130</v>
      </c>
      <c r="E306" s="7">
        <v>4</v>
      </c>
      <c r="F306" s="7">
        <v>38101.46</v>
      </c>
      <c r="G306" s="7">
        <v>152405.84</v>
      </c>
      <c r="H306" s="10">
        <v>0</v>
      </c>
      <c r="I306" s="10">
        <v>0.6</v>
      </c>
      <c r="J306" s="7">
        <f>H306+I306</f>
        <v>0.6</v>
      </c>
      <c r="K306" s="7">
        <f>I306*F306</f>
        <v>22860.876</v>
      </c>
      <c r="L306" s="7">
        <f>J306*F306</f>
        <v>22860.876</v>
      </c>
    </row>
    <row r="307" spans="1:12">
      <c r="A307" s="6" t="s">
        <v>584</v>
      </c>
      <c r="B307" s="6" t="s">
        <v>689</v>
      </c>
      <c r="C307" s="11" t="s">
        <v>690</v>
      </c>
      <c r="D307" s="6" t="s">
        <v>130</v>
      </c>
      <c r="E307" s="7">
        <v>2</v>
      </c>
      <c r="F307" s="7">
        <v>34939.76</v>
      </c>
      <c r="G307" s="7">
        <v>69879.52</v>
      </c>
      <c r="H307" s="10">
        <v>0</v>
      </c>
      <c r="I307" s="10">
        <v>0.4</v>
      </c>
      <c r="J307" s="7">
        <f>H307+I307</f>
        <v>0.4</v>
      </c>
      <c r="K307" s="7">
        <f>I307*F307</f>
        <v>13975.904000000002</v>
      </c>
      <c r="L307" s="7">
        <f>J307*F307</f>
        <v>13975.904000000002</v>
      </c>
    </row>
    <row r="308" spans="1:12">
      <c r="A308" s="6" t="s">
        <v>584</v>
      </c>
      <c r="B308" s="6" t="s">
        <v>691</v>
      </c>
      <c r="C308" s="11" t="s">
        <v>692</v>
      </c>
      <c r="D308" s="6" t="s">
        <v>130</v>
      </c>
      <c r="E308" s="7">
        <v>1</v>
      </c>
      <c r="F308" s="7">
        <v>37331.97</v>
      </c>
      <c r="G308" s="7">
        <v>37331.97</v>
      </c>
      <c r="H308" s="10">
        <v>0</v>
      </c>
      <c r="I308" s="10">
        <v>0.2</v>
      </c>
      <c r="J308" s="7">
        <f>H308+I308</f>
        <v>0.2</v>
      </c>
      <c r="K308" s="7">
        <f>I308*F308</f>
        <v>7466.394</v>
      </c>
      <c r="L308" s="7">
        <f>J308*F308</f>
        <v>7466.394</v>
      </c>
    </row>
    <row r="309" spans="1:12">
      <c r="A309" s="6" t="s">
        <v>584</v>
      </c>
      <c r="B309" s="6" t="s">
        <v>693</v>
      </c>
      <c r="C309" s="11" t="s">
        <v>694</v>
      </c>
      <c r="D309" s="6" t="s">
        <v>130</v>
      </c>
      <c r="E309" s="7">
        <v>1</v>
      </c>
      <c r="F309" s="7">
        <v>40157.68</v>
      </c>
      <c r="G309" s="7">
        <v>40157.68</v>
      </c>
      <c r="H309" s="10">
        <v>0</v>
      </c>
      <c r="I309" s="10">
        <v>0.2</v>
      </c>
      <c r="J309" s="7">
        <f>H309+I309</f>
        <v>0.2</v>
      </c>
      <c r="K309" s="7">
        <f>I309*F309</f>
        <v>8031.536</v>
      </c>
      <c r="L309" s="7">
        <f>J309*F309</f>
        <v>8031.536</v>
      </c>
    </row>
    <row r="310" spans="1:12">
      <c r="A310" s="6" t="s">
        <v>584</v>
      </c>
      <c r="B310" s="6" t="s">
        <v>695</v>
      </c>
      <c r="C310" s="11" t="s">
        <v>696</v>
      </c>
      <c r="D310" s="6" t="s">
        <v>130</v>
      </c>
      <c r="E310" s="7">
        <v>4</v>
      </c>
      <c r="F310" s="7">
        <v>30457.43</v>
      </c>
      <c r="G310" s="7">
        <v>121829.72</v>
      </c>
      <c r="H310" s="10">
        <v>0</v>
      </c>
      <c r="I310" s="10">
        <v>0</v>
      </c>
      <c r="J310" s="7">
        <f>H310+I310</f>
        <v>0.0</v>
      </c>
      <c r="K310" s="7">
        <f>I310*F310</f>
        <v>0.0</v>
      </c>
      <c r="L310" s="7">
        <f>J310*F310</f>
        <v>0.0</v>
      </c>
    </row>
    <row r="311" spans="1:12">
      <c r="A311" s="6" t="s">
        <v>584</v>
      </c>
      <c r="B311" s="6" t="s">
        <v>697</v>
      </c>
      <c r="C311" s="11" t="s">
        <v>698</v>
      </c>
      <c r="D311" s="6" t="s">
        <v>130</v>
      </c>
      <c r="E311" s="7">
        <v>4</v>
      </c>
      <c r="F311" s="7">
        <v>33516.31</v>
      </c>
      <c r="G311" s="7">
        <v>134065.24</v>
      </c>
      <c r="H311" s="10">
        <v>0</v>
      </c>
      <c r="I311" s="10">
        <v>0</v>
      </c>
      <c r="J311" s="7">
        <f>H311+I311</f>
        <v>0.0</v>
      </c>
      <c r="K311" s="7">
        <f>I311*F311</f>
        <v>0.0</v>
      </c>
      <c r="L311" s="7">
        <f>J311*F311</f>
        <v>0.0</v>
      </c>
    </row>
    <row r="312" spans="1:12">
      <c r="A312" s="6" t="s">
        <v>584</v>
      </c>
      <c r="B312" s="6" t="s">
        <v>699</v>
      </c>
      <c r="C312" s="11" t="s">
        <v>700</v>
      </c>
      <c r="D312" s="6" t="s">
        <v>130</v>
      </c>
      <c r="E312" s="7">
        <v>6</v>
      </c>
      <c r="F312" s="7">
        <v>36865.61</v>
      </c>
      <c r="G312" s="7">
        <v>221193.66</v>
      </c>
      <c r="H312" s="10">
        <v>0</v>
      </c>
      <c r="I312" s="10">
        <v>0</v>
      </c>
      <c r="J312" s="7">
        <f>H312+I312</f>
        <v>0.0</v>
      </c>
      <c r="K312" s="7">
        <f>I312*F312</f>
        <v>0.0</v>
      </c>
      <c r="L312" s="7">
        <f>J312*F312</f>
        <v>0.0</v>
      </c>
    </row>
    <row r="313" spans="1:12">
      <c r="A313" s="6" t="s">
        <v>584</v>
      </c>
      <c r="B313" s="6" t="s">
        <v>701</v>
      </c>
      <c r="C313" s="11" t="s">
        <v>702</v>
      </c>
      <c r="D313" s="6" t="s">
        <v>130</v>
      </c>
      <c r="E313" s="7">
        <v>4</v>
      </c>
      <c r="F313" s="7">
        <v>39322.47</v>
      </c>
      <c r="G313" s="7">
        <v>157289.88</v>
      </c>
      <c r="H313" s="10">
        <v>0</v>
      </c>
      <c r="I313" s="10">
        <v>0</v>
      </c>
      <c r="J313" s="7">
        <f>H313+I313</f>
        <v>0.0</v>
      </c>
      <c r="K313" s="7">
        <f>I313*F313</f>
        <v>0.0</v>
      </c>
      <c r="L313" s="7">
        <f>J313*F313</f>
        <v>0.0</v>
      </c>
    </row>
    <row r="314" spans="1:12">
      <c r="A314" s="6" t="s">
        <v>584</v>
      </c>
      <c r="B314" s="6" t="s">
        <v>703</v>
      </c>
      <c r="C314" s="11" t="s">
        <v>704</v>
      </c>
      <c r="D314" s="6" t="s">
        <v>130</v>
      </c>
      <c r="E314" s="7">
        <v>5</v>
      </c>
      <c r="F314" s="7">
        <v>42301.86</v>
      </c>
      <c r="G314" s="7">
        <v>211509.3</v>
      </c>
      <c r="H314" s="10">
        <v>0</v>
      </c>
      <c r="I314" s="10">
        <v>0</v>
      </c>
      <c r="J314" s="7">
        <f>H314+I314</f>
        <v>0.0</v>
      </c>
      <c r="K314" s="7">
        <f>I314*F314</f>
        <v>0.0</v>
      </c>
      <c r="L314" s="7">
        <f>J314*F314</f>
        <v>0.0</v>
      </c>
    </row>
    <row r="315" spans="1:12">
      <c r="A315" s="6" t="s">
        <v>584</v>
      </c>
      <c r="B315" s="6" t="s">
        <v>705</v>
      </c>
      <c r="C315" s="11" t="s">
        <v>706</v>
      </c>
      <c r="D315" s="6" t="s">
        <v>130</v>
      </c>
      <c r="E315" s="7">
        <v>2</v>
      </c>
      <c r="F315" s="7">
        <v>45572.73</v>
      </c>
      <c r="G315" s="7">
        <v>91145.46000000001</v>
      </c>
      <c r="H315" s="10">
        <v>0</v>
      </c>
      <c r="I315" s="10">
        <v>0</v>
      </c>
      <c r="J315" s="7">
        <f>H315+I315</f>
        <v>0.0</v>
      </c>
      <c r="K315" s="7">
        <f>I315*F315</f>
        <v>0.0</v>
      </c>
      <c r="L315" s="7">
        <f>J315*F315</f>
        <v>0.0</v>
      </c>
    </row>
    <row r="316" spans="1:12">
      <c r="A316" s="6" t="s">
        <v>584</v>
      </c>
      <c r="B316" s="6" t="s">
        <v>707</v>
      </c>
      <c r="C316" s="11" t="s">
        <v>708</v>
      </c>
      <c r="D316" s="6" t="s">
        <v>130</v>
      </c>
      <c r="E316" s="7">
        <v>3</v>
      </c>
      <c r="F316" s="7">
        <v>48843.6</v>
      </c>
      <c r="G316" s="7">
        <v>146530.8</v>
      </c>
      <c r="H316" s="10">
        <v>0</v>
      </c>
      <c r="I316" s="10">
        <v>0</v>
      </c>
      <c r="J316" s="7">
        <f>H316+I316</f>
        <v>0.0</v>
      </c>
      <c r="K316" s="7">
        <f>I316*F316</f>
        <v>0.0</v>
      </c>
      <c r="L316" s="7">
        <f>J316*F316</f>
        <v>0.0</v>
      </c>
    </row>
    <row r="317" spans="1:12">
      <c r="A317" s="6" t="s">
        <v>584</v>
      </c>
      <c r="B317" s="6" t="s">
        <v>709</v>
      </c>
      <c r="C317" s="11" t="s">
        <v>710</v>
      </c>
      <c r="D317" s="6" t="s">
        <v>130</v>
      </c>
      <c r="E317" s="7">
        <v>4</v>
      </c>
      <c r="F317" s="7">
        <v>51822.99</v>
      </c>
      <c r="G317" s="7">
        <v>207291.96</v>
      </c>
      <c r="H317" s="10">
        <v>0</v>
      </c>
      <c r="I317" s="10">
        <v>0</v>
      </c>
      <c r="J317" s="7">
        <f>H317+I317</f>
        <v>0.0</v>
      </c>
      <c r="K317" s="7">
        <f>I317*F317</f>
        <v>0.0</v>
      </c>
      <c r="L317" s="7">
        <f>J317*F317</f>
        <v>0.0</v>
      </c>
    </row>
    <row r="318" spans="1:12">
      <c r="A318" s="6" t="s">
        <v>584</v>
      </c>
      <c r="B318" s="6" t="s">
        <v>711</v>
      </c>
      <c r="C318" s="11" t="s">
        <v>712</v>
      </c>
      <c r="D318" s="6" t="s">
        <v>130</v>
      </c>
      <c r="E318" s="7">
        <v>4</v>
      </c>
      <c r="F318" s="7">
        <v>55093.86</v>
      </c>
      <c r="G318" s="7">
        <v>220375.44</v>
      </c>
      <c r="H318" s="10">
        <v>0</v>
      </c>
      <c r="I318" s="10">
        <v>0</v>
      </c>
      <c r="J318" s="7">
        <f>H318+I318</f>
        <v>0.0</v>
      </c>
      <c r="K318" s="7">
        <f>I318*F318</f>
        <v>0.0</v>
      </c>
      <c r="L318" s="7">
        <f>J318*F318</f>
        <v>0.0</v>
      </c>
    </row>
    <row r="319" spans="1:12">
      <c r="A319" s="6" t="s">
        <v>584</v>
      </c>
      <c r="B319" s="6" t="s">
        <v>713</v>
      </c>
      <c r="C319" s="11" t="s">
        <v>714</v>
      </c>
      <c r="D319" s="6" t="s">
        <v>130</v>
      </c>
      <c r="E319" s="7">
        <v>1</v>
      </c>
      <c r="F319" s="7">
        <v>37908.56</v>
      </c>
      <c r="G319" s="7">
        <v>37908.56</v>
      </c>
      <c r="H319" s="10">
        <v>0</v>
      </c>
      <c r="I319" s="10">
        <v>0</v>
      </c>
      <c r="J319" s="7">
        <f>H319+I319</f>
        <v>0.0</v>
      </c>
      <c r="K319" s="7">
        <f>I319*F319</f>
        <v>0.0</v>
      </c>
      <c r="L319" s="7">
        <f>J319*F319</f>
        <v>0.0</v>
      </c>
    </row>
    <row r="320" spans="1:12">
      <c r="A320" s="6" t="s">
        <v>584</v>
      </c>
      <c r="B320" s="6" t="s">
        <v>715</v>
      </c>
      <c r="C320" s="11" t="s">
        <v>716</v>
      </c>
      <c r="D320" s="6" t="s">
        <v>130</v>
      </c>
      <c r="E320" s="7">
        <v>1</v>
      </c>
      <c r="F320" s="7">
        <v>41333.11</v>
      </c>
      <c r="G320" s="7">
        <v>41333.11</v>
      </c>
      <c r="H320" s="10">
        <v>0</v>
      </c>
      <c r="I320" s="10">
        <v>0</v>
      </c>
      <c r="J320" s="7">
        <f>H320+I320</f>
        <v>0.0</v>
      </c>
      <c r="K320" s="7">
        <f>I320*F320</f>
        <v>0.0</v>
      </c>
      <c r="L320" s="7">
        <f>J320*F320</f>
        <v>0.0</v>
      </c>
    </row>
    <row r="321" spans="1:12">
      <c r="A321" s="6" t="s">
        <v>584</v>
      </c>
      <c r="B321" s="6" t="s">
        <v>717</v>
      </c>
      <c r="C321" s="11" t="s">
        <v>718</v>
      </c>
      <c r="D321" s="6" t="s">
        <v>130</v>
      </c>
      <c r="E321" s="7">
        <v>5</v>
      </c>
      <c r="F321" s="7">
        <v>44465.13</v>
      </c>
      <c r="G321" s="7">
        <v>222325.65</v>
      </c>
      <c r="H321" s="10">
        <v>0</v>
      </c>
      <c r="I321" s="10">
        <v>0</v>
      </c>
      <c r="J321" s="7">
        <f>H321+I321</f>
        <v>0.0</v>
      </c>
      <c r="K321" s="7">
        <f>I321*F321</f>
        <v>0.0</v>
      </c>
      <c r="L321" s="7">
        <f>J321*F321</f>
        <v>0.0</v>
      </c>
    </row>
    <row r="322" spans="1:12">
      <c r="A322" s="6" t="s">
        <v>584</v>
      </c>
      <c r="B322" s="6" t="s">
        <v>719</v>
      </c>
      <c r="C322" s="11" t="s">
        <v>720</v>
      </c>
      <c r="D322" s="6" t="s">
        <v>130</v>
      </c>
      <c r="E322" s="7">
        <v>2</v>
      </c>
      <c r="F322" s="7">
        <v>47890.74</v>
      </c>
      <c r="G322" s="7">
        <v>95781.48</v>
      </c>
      <c r="H322" s="10">
        <v>0</v>
      </c>
      <c r="I322" s="10">
        <v>0</v>
      </c>
      <c r="J322" s="7">
        <f>H322+I322</f>
        <v>0.0</v>
      </c>
      <c r="K322" s="7">
        <f>I322*F322</f>
        <v>0.0</v>
      </c>
      <c r="L322" s="7">
        <f>J322*F322</f>
        <v>0.0</v>
      </c>
    </row>
    <row r="323" spans="1:12">
      <c r="A323" s="6" t="s">
        <v>584</v>
      </c>
      <c r="B323" s="6" t="s">
        <v>721</v>
      </c>
      <c r="C323" s="11" t="s">
        <v>722</v>
      </c>
      <c r="D323" s="6" t="s">
        <v>130</v>
      </c>
      <c r="E323" s="7">
        <v>2</v>
      </c>
      <c r="F323" s="7">
        <v>51315.3</v>
      </c>
      <c r="G323" s="7">
        <v>102630.6</v>
      </c>
      <c r="H323" s="10">
        <v>0</v>
      </c>
      <c r="I323" s="10">
        <v>0</v>
      </c>
      <c r="J323" s="7">
        <f>H323+I323</f>
        <v>0.0</v>
      </c>
      <c r="K323" s="7">
        <f>I323*F323</f>
        <v>0.0</v>
      </c>
      <c r="L323" s="7">
        <f>J323*F323</f>
        <v>0.0</v>
      </c>
    </row>
    <row r="324" spans="1:12">
      <c r="A324" s="6" t="s">
        <v>584</v>
      </c>
      <c r="B324" s="6" t="s">
        <v>723</v>
      </c>
      <c r="C324" s="11" t="s">
        <v>724</v>
      </c>
      <c r="D324" s="6" t="s">
        <v>130</v>
      </c>
      <c r="E324" s="7">
        <v>2</v>
      </c>
      <c r="F324" s="7">
        <v>46359.18</v>
      </c>
      <c r="G324" s="7">
        <v>92718.36</v>
      </c>
      <c r="H324" s="10">
        <v>0</v>
      </c>
      <c r="I324" s="10">
        <v>0</v>
      </c>
      <c r="J324" s="7">
        <f>H324+I324</f>
        <v>0.0</v>
      </c>
      <c r="K324" s="7">
        <f>I324*F324</f>
        <v>0.0</v>
      </c>
      <c r="L324" s="7">
        <f>J324*F324</f>
        <v>0.0</v>
      </c>
    </row>
    <row r="325" spans="1:12">
      <c r="A325" s="6" t="s">
        <v>584</v>
      </c>
      <c r="B325" s="6" t="s">
        <v>725</v>
      </c>
      <c r="C325" s="11" t="s">
        <v>726</v>
      </c>
      <c r="D325" s="6" t="s">
        <v>130</v>
      </c>
      <c r="E325" s="7">
        <v>1</v>
      </c>
      <c r="F325" s="7">
        <v>49875.94</v>
      </c>
      <c r="G325" s="7">
        <v>49875.94</v>
      </c>
      <c r="H325" s="10">
        <v>0</v>
      </c>
      <c r="I325" s="10">
        <v>0</v>
      </c>
      <c r="J325" s="7">
        <f>H325+I325</f>
        <v>0.0</v>
      </c>
      <c r="K325" s="7">
        <f>I325*F325</f>
        <v>0.0</v>
      </c>
      <c r="L325" s="7">
        <f>J325*F325</f>
        <v>0.0</v>
      </c>
    </row>
    <row r="326" spans="1:12">
      <c r="A326" s="6" t="s">
        <v>584</v>
      </c>
      <c r="B326" s="6" t="s">
        <v>727</v>
      </c>
      <c r="C326" s="11" t="s">
        <v>728</v>
      </c>
      <c r="D326" s="6" t="s">
        <v>130</v>
      </c>
      <c r="E326" s="7">
        <v>1</v>
      </c>
      <c r="F326" s="7">
        <v>61010.25</v>
      </c>
      <c r="G326" s="7">
        <v>61010.25</v>
      </c>
      <c r="H326" s="10">
        <v>0</v>
      </c>
      <c r="I326" s="10">
        <v>0</v>
      </c>
      <c r="J326" s="7">
        <f>H326+I326</f>
        <v>0.0</v>
      </c>
      <c r="K326" s="7">
        <f>I326*F326</f>
        <v>0.0</v>
      </c>
      <c r="L326" s="7">
        <f>J326*F326</f>
        <v>0.0</v>
      </c>
    </row>
    <row r="327" spans="1:12">
      <c r="A327" s="6" t="s">
        <v>584</v>
      </c>
      <c r="B327" s="6" t="s">
        <v>729</v>
      </c>
      <c r="C327" s="11" t="s">
        <v>730</v>
      </c>
      <c r="D327" s="6" t="s">
        <v>158</v>
      </c>
      <c r="E327" s="7">
        <v>408</v>
      </c>
      <c r="F327" s="7">
        <v>3510.4</v>
      </c>
      <c r="G327" s="7">
        <v>1432243.2</v>
      </c>
      <c r="H327" s="10">
        <v>126</v>
      </c>
      <c r="I327" s="10">
        <v>101.18</v>
      </c>
      <c r="J327" s="7">
        <f>H327+I327</f>
        <v>227.18</v>
      </c>
      <c r="K327" s="7">
        <f>I327*F327</f>
        <v>355182.27200000006</v>
      </c>
      <c r="L327" s="7">
        <f>J327*F327</f>
        <v>797492.672</v>
      </c>
    </row>
    <row r="328" spans="1:12">
      <c r="A328" s="6" t="s">
        <v>584</v>
      </c>
      <c r="B328" s="6" t="s">
        <v>731</v>
      </c>
      <c r="C328" s="11" t="s">
        <v>732</v>
      </c>
      <c r="D328" s="6" t="s">
        <v>158</v>
      </c>
      <c r="E328" s="7">
        <v>626</v>
      </c>
      <c r="F328" s="7">
        <v>4219.48</v>
      </c>
      <c r="G328" s="7">
        <v>2641394.48</v>
      </c>
      <c r="H328" s="10">
        <v>0</v>
      </c>
      <c r="I328" s="10">
        <v>0</v>
      </c>
      <c r="J328" s="7">
        <f>H328+I328</f>
        <v>0.0</v>
      </c>
      <c r="K328" s="7">
        <f>I328*F328</f>
        <v>0.0</v>
      </c>
      <c r="L328" s="7">
        <f>J328*F328</f>
        <v>0.0</v>
      </c>
    </row>
    <row r="329" spans="1:12">
      <c r="A329" s="6" t="s">
        <v>584</v>
      </c>
      <c r="B329" s="6" t="s">
        <v>733</v>
      </c>
      <c r="C329" s="11" t="s">
        <v>734</v>
      </c>
      <c r="D329" s="6" t="s">
        <v>158</v>
      </c>
      <c r="E329" s="7">
        <v>597</v>
      </c>
      <c r="F329" s="7">
        <v>5001.69</v>
      </c>
      <c r="G329" s="7">
        <v>2986008.93</v>
      </c>
      <c r="H329" s="10">
        <v>0</v>
      </c>
      <c r="I329" s="10">
        <v>0</v>
      </c>
      <c r="J329" s="7">
        <f>H329+I329</f>
        <v>0.0</v>
      </c>
      <c r="K329" s="7">
        <f>I329*F329</f>
        <v>0.0</v>
      </c>
      <c r="L329" s="7">
        <f>J329*F329</f>
        <v>0.0</v>
      </c>
    </row>
    <row r="330" spans="1:12">
      <c r="A330" s="6" t="s">
        <v>584</v>
      </c>
      <c r="B330" s="6" t="s">
        <v>735</v>
      </c>
      <c r="C330" s="11" t="s">
        <v>736</v>
      </c>
      <c r="D330" s="6" t="s">
        <v>158</v>
      </c>
      <c r="E330" s="7">
        <v>1150</v>
      </c>
      <c r="F330" s="7">
        <v>5001.69</v>
      </c>
      <c r="G330" s="7">
        <v>5750442.99</v>
      </c>
      <c r="H330" s="10">
        <v>0</v>
      </c>
      <c r="I330" s="10">
        <v>0</v>
      </c>
      <c r="J330" s="7">
        <f>H330+I330</f>
        <v>0.0</v>
      </c>
      <c r="K330" s="7">
        <f>I330*F330</f>
        <v>0.0</v>
      </c>
      <c r="L330" s="7">
        <f>J330*F330</f>
        <v>0.0</v>
      </c>
    </row>
    <row r="331" spans="1:12">
      <c r="A331" s="6" t="s">
        <v>584</v>
      </c>
      <c r="B331" s="6" t="s">
        <v>737</v>
      </c>
      <c r="C331" s="11" t="s">
        <v>738</v>
      </c>
      <c r="D331" s="6" t="s">
        <v>158</v>
      </c>
      <c r="E331" s="7">
        <v>154</v>
      </c>
      <c r="F331" s="7">
        <v>7278.37</v>
      </c>
      <c r="G331" s="7">
        <v>1120868.98</v>
      </c>
      <c r="H331" s="10">
        <v>0</v>
      </c>
      <c r="I331" s="10">
        <v>0</v>
      </c>
      <c r="J331" s="7">
        <f>H331+I331</f>
        <v>0.0</v>
      </c>
      <c r="K331" s="7">
        <f>I331*F331</f>
        <v>0.0</v>
      </c>
      <c r="L331" s="7">
        <f>J331*F331</f>
        <v>0.0</v>
      </c>
    </row>
    <row r="332" spans="1:12">
      <c r="A332" s="6" t="s">
        <v>584</v>
      </c>
      <c r="B332" s="6" t="s">
        <v>739</v>
      </c>
      <c r="C332" s="11" t="s">
        <v>740</v>
      </c>
      <c r="D332" s="6" t="s">
        <v>179</v>
      </c>
      <c r="E332" s="7">
        <v>44904</v>
      </c>
      <c r="F332" s="7">
        <v>381.9</v>
      </c>
      <c r="G332" s="7">
        <v>17148837.6</v>
      </c>
      <c r="H332" s="10">
        <v>1699.2</v>
      </c>
      <c r="I332" s="10">
        <v>1603.2</v>
      </c>
      <c r="J332" s="7">
        <f>H332+I332</f>
        <v>3302.4</v>
      </c>
      <c r="K332" s="7">
        <f>I332*F332</f>
        <v>612262.08</v>
      </c>
      <c r="L332" s="7">
        <f>J332*F332</f>
        <v>1261186.56</v>
      </c>
    </row>
    <row r="333" spans="1:12">
      <c r="A333" s="6" t="s">
        <v>584</v>
      </c>
      <c r="B333" s="6" t="s">
        <v>741</v>
      </c>
      <c r="C333" s="11" t="s">
        <v>742</v>
      </c>
      <c r="D333" s="6" t="s">
        <v>179</v>
      </c>
      <c r="E333" s="7">
        <v>16640</v>
      </c>
      <c r="F333" s="7">
        <v>508.33</v>
      </c>
      <c r="G333" s="7">
        <v>8458560.369999999</v>
      </c>
      <c r="H333" s="10">
        <v>1015.78</v>
      </c>
      <c r="I333" s="10">
        <v>64.19</v>
      </c>
      <c r="J333" s="7">
        <f>H333+I333</f>
        <v>1079.97</v>
      </c>
      <c r="K333" s="7">
        <f>I333*F333</f>
        <v>32629.702699999998</v>
      </c>
      <c r="L333" s="7">
        <f>J333*F333</f>
        <v>548981.1501</v>
      </c>
    </row>
    <row r="334" spans="1:12">
      <c r="A334" s="6" t="s">
        <v>584</v>
      </c>
      <c r="B334" s="6" t="s">
        <v>743</v>
      </c>
      <c r="C334" s="11" t="s">
        <v>744</v>
      </c>
      <c r="D334" s="6" t="s">
        <v>179</v>
      </c>
      <c r="E334" s="7">
        <v>3182</v>
      </c>
      <c r="F334" s="7">
        <v>611.8</v>
      </c>
      <c r="G334" s="7">
        <v>1946931.14</v>
      </c>
      <c r="H334" s="10">
        <v>392.35</v>
      </c>
      <c r="I334" s="10">
        <v>4.9</v>
      </c>
      <c r="J334" s="7">
        <f>H334+I334</f>
        <v>397.25</v>
      </c>
      <c r="K334" s="7">
        <f>I334*F334</f>
        <v>2997.82</v>
      </c>
      <c r="L334" s="7">
        <f>J334*F334</f>
        <v>243037.55</v>
      </c>
    </row>
    <row r="335" spans="1:12">
      <c r="A335" s="6" t="s">
        <v>584</v>
      </c>
      <c r="B335" s="6" t="s">
        <v>745</v>
      </c>
      <c r="C335" s="11" t="s">
        <v>746</v>
      </c>
      <c r="D335" s="6" t="s">
        <v>179</v>
      </c>
      <c r="E335" s="7">
        <v>3894</v>
      </c>
      <c r="F335" s="7">
        <v>720.15</v>
      </c>
      <c r="G335" s="7">
        <v>2804264.1</v>
      </c>
      <c r="H335" s="10">
        <v>182.03</v>
      </c>
      <c r="I335" s="10">
        <v>0</v>
      </c>
      <c r="J335" s="7">
        <f>H335+I335</f>
        <v>182.03</v>
      </c>
      <c r="K335" s="7">
        <f>I335*F335</f>
        <v>0.0</v>
      </c>
      <c r="L335" s="7">
        <f>J335*F335</f>
        <v>131088.9045</v>
      </c>
    </row>
    <row r="336" spans="1:12">
      <c r="A336" s="6" t="s">
        <v>584</v>
      </c>
      <c r="B336" s="6" t="s">
        <v>747</v>
      </c>
      <c r="C336" s="11" t="s">
        <v>748</v>
      </c>
      <c r="D336" s="6" t="s">
        <v>179</v>
      </c>
      <c r="E336" s="7">
        <v>3459</v>
      </c>
      <c r="F336" s="7">
        <v>848.3</v>
      </c>
      <c r="G336" s="7">
        <v>2934269.7</v>
      </c>
      <c r="H336" s="10">
        <v>14.4</v>
      </c>
      <c r="I336" s="10">
        <v>0</v>
      </c>
      <c r="J336" s="7">
        <f>H336+I336</f>
        <v>14.4</v>
      </c>
      <c r="K336" s="7">
        <f>I336*F336</f>
        <v>0.0</v>
      </c>
      <c r="L336" s="7">
        <f>J336*F336</f>
        <v>12215.52</v>
      </c>
    </row>
    <row r="337" spans="1:12">
      <c r="A337" s="6" t="s">
        <v>584</v>
      </c>
      <c r="B337" s="6" t="s">
        <v>749</v>
      </c>
      <c r="C337" s="11" t="s">
        <v>750</v>
      </c>
      <c r="D337" s="6" t="s">
        <v>179</v>
      </c>
      <c r="E337" s="7">
        <v>2864</v>
      </c>
      <c r="F337" s="7">
        <v>998.28</v>
      </c>
      <c r="G337" s="7">
        <v>2859373.4</v>
      </c>
      <c r="H337" s="10">
        <v>0</v>
      </c>
      <c r="I337" s="10">
        <v>43.2</v>
      </c>
      <c r="J337" s="7">
        <f>H337+I337</f>
        <v>43.2</v>
      </c>
      <c r="K337" s="7">
        <f>I337*F337</f>
        <v>43125.696</v>
      </c>
      <c r="L337" s="7">
        <f>J337*F337</f>
        <v>43125.696</v>
      </c>
    </row>
    <row r="338" spans="1:12">
      <c r="A338" s="6" t="s">
        <v>584</v>
      </c>
      <c r="B338" s="6" t="s">
        <v>751</v>
      </c>
      <c r="C338" s="11" t="s">
        <v>752</v>
      </c>
      <c r="D338" s="6" t="s">
        <v>179</v>
      </c>
      <c r="E338" s="7">
        <v>2604</v>
      </c>
      <c r="F338" s="7">
        <v>1156.88</v>
      </c>
      <c r="G338" s="7">
        <v>3012978.27</v>
      </c>
      <c r="H338" s="10">
        <v>136</v>
      </c>
      <c r="I338" s="10">
        <v>0</v>
      </c>
      <c r="J338" s="7">
        <f>H338+I338</f>
        <v>136.0</v>
      </c>
      <c r="K338" s="7">
        <f>I338*F338</f>
        <v>0.0</v>
      </c>
      <c r="L338" s="7">
        <f>J338*F338</f>
        <v>157335.68000000002</v>
      </c>
    </row>
    <row r="339" spans="1:12">
      <c r="A339" s="6" t="s">
        <v>584</v>
      </c>
      <c r="B339" s="6" t="s">
        <v>753</v>
      </c>
      <c r="C339" s="11" t="s">
        <v>754</v>
      </c>
      <c r="D339" s="6" t="s">
        <v>179</v>
      </c>
      <c r="E339" s="7">
        <v>2543</v>
      </c>
      <c r="F339" s="7">
        <v>1337.25</v>
      </c>
      <c r="G339" s="7">
        <v>3400626.75</v>
      </c>
      <c r="H339" s="10">
        <v>142.8</v>
      </c>
      <c r="I339" s="10">
        <v>9.640000000000001</v>
      </c>
      <c r="J339" s="7">
        <f>H339+I339</f>
        <v>152.44</v>
      </c>
      <c r="K339" s="7">
        <f>I339*F339</f>
        <v>12891.09</v>
      </c>
      <c r="L339" s="7">
        <f>J339*F339</f>
        <v>203850.38999999998</v>
      </c>
    </row>
    <row r="340" spans="1:12">
      <c r="A340" s="6" t="s">
        <v>584</v>
      </c>
      <c r="B340" s="6" t="s">
        <v>755</v>
      </c>
      <c r="C340" s="11" t="s">
        <v>756</v>
      </c>
      <c r="D340" s="6" t="s">
        <v>179</v>
      </c>
      <c r="E340" s="7">
        <v>4244</v>
      </c>
      <c r="F340" s="7">
        <v>1705.14</v>
      </c>
      <c r="G340" s="7">
        <v>7236443.65</v>
      </c>
      <c r="H340" s="10">
        <v>541.54</v>
      </c>
      <c r="I340" s="10">
        <v>217.01</v>
      </c>
      <c r="J340" s="7">
        <f>H340+I340</f>
        <v>758.55</v>
      </c>
      <c r="K340" s="7">
        <f>I340*F340</f>
        <v>370032.4314</v>
      </c>
      <c r="L340" s="7">
        <f>J340*F340</f>
        <v>1293433.947</v>
      </c>
    </row>
    <row r="341" spans="1:12">
      <c r="A341" s="6" t="s">
        <v>584</v>
      </c>
      <c r="B341" s="6" t="s">
        <v>757</v>
      </c>
      <c r="C341" s="11" t="s">
        <v>758</v>
      </c>
      <c r="D341" s="6" t="s">
        <v>179</v>
      </c>
      <c r="E341" s="7">
        <v>1408</v>
      </c>
      <c r="F341" s="7">
        <v>2276.86</v>
      </c>
      <c r="G341" s="7">
        <v>3206046.57</v>
      </c>
      <c r="H341" s="10">
        <v>177.62</v>
      </c>
      <c r="I341" s="10">
        <v>19.28</v>
      </c>
      <c r="J341" s="7">
        <f>H341+I341</f>
        <v>196.9</v>
      </c>
      <c r="K341" s="7">
        <f>I341*F341</f>
        <v>43897.8608</v>
      </c>
      <c r="L341" s="7">
        <f>J341*F341</f>
        <v>448313.73400000005</v>
      </c>
    </row>
    <row r="342" spans="1:12">
      <c r="A342" s="6" t="s">
        <v>584</v>
      </c>
      <c r="B342" s="6" t="s">
        <v>759</v>
      </c>
      <c r="C342" s="11" t="s">
        <v>760</v>
      </c>
      <c r="D342" s="6" t="s">
        <v>179</v>
      </c>
      <c r="E342" s="7">
        <v>917</v>
      </c>
      <c r="F342" s="7">
        <v>2799.26</v>
      </c>
      <c r="G342" s="7">
        <v>2567761.2</v>
      </c>
      <c r="H342" s="10">
        <v>19.2</v>
      </c>
      <c r="I342" s="10">
        <v>12.27</v>
      </c>
      <c r="J342" s="7">
        <f>H342+I342</f>
        <v>31.47</v>
      </c>
      <c r="K342" s="7">
        <f>I342*F342</f>
        <v>34346.9202</v>
      </c>
      <c r="L342" s="7">
        <f>J342*F342</f>
        <v>88092.71220000001</v>
      </c>
    </row>
    <row r="343" spans="1:12">
      <c r="A343" s="6" t="s">
        <v>584</v>
      </c>
      <c r="B343" s="6" t="s">
        <v>761</v>
      </c>
      <c r="C343" s="11" t="s">
        <v>762</v>
      </c>
      <c r="D343" s="6" t="s">
        <v>140</v>
      </c>
      <c r="E343" s="7">
        <v>182067</v>
      </c>
      <c r="F343" s="7">
        <v>15.9</v>
      </c>
      <c r="G343" s="7">
        <v>2894872.11</v>
      </c>
      <c r="H343" s="10">
        <v>8257.82</v>
      </c>
      <c r="I343" s="10">
        <v>2753.29</v>
      </c>
      <c r="J343" s="7">
        <f>H343+I343</f>
        <v>11011.11</v>
      </c>
      <c r="K343" s="7">
        <f>I343*F343</f>
        <v>43777.311</v>
      </c>
      <c r="L343" s="7">
        <f>J343*F343</f>
        <v>175076.649</v>
      </c>
    </row>
    <row r="344" spans="1:12">
      <c r="A344" s="6" t="s">
        <v>584</v>
      </c>
      <c r="B344" s="6" t="s">
        <v>763</v>
      </c>
      <c r="C344" s="11" t="s">
        <v>764</v>
      </c>
      <c r="D344" s="6" t="s">
        <v>158</v>
      </c>
      <c r="E344" s="7">
        <v>950</v>
      </c>
      <c r="F344" s="7">
        <v>127.19</v>
      </c>
      <c r="G344" s="7">
        <v>120830.5</v>
      </c>
      <c r="H344" s="10">
        <v>0</v>
      </c>
      <c r="I344" s="10">
        <v>0</v>
      </c>
      <c r="J344" s="7">
        <f>H344+I344</f>
        <v>0.0</v>
      </c>
      <c r="K344" s="7">
        <f>I344*F344</f>
        <v>0.0</v>
      </c>
      <c r="L344" s="7">
        <f>J344*F344</f>
        <v>0.0</v>
      </c>
    </row>
    <row r="345" spans="1:12">
      <c r="A345" s="6" t="s">
        <v>584</v>
      </c>
      <c r="B345" s="6" t="s">
        <v>765</v>
      </c>
      <c r="C345" s="11" t="s">
        <v>766</v>
      </c>
      <c r="D345" s="6" t="s">
        <v>179</v>
      </c>
      <c r="E345" s="7">
        <v>5854</v>
      </c>
      <c r="F345" s="7">
        <v>53.7</v>
      </c>
      <c r="G345" s="7">
        <v>314359.8</v>
      </c>
      <c r="H345" s="10">
        <v>0</v>
      </c>
      <c r="I345" s="10">
        <v>0</v>
      </c>
      <c r="J345" s="7">
        <f>H345+I345</f>
        <v>0.0</v>
      </c>
      <c r="K345" s="7">
        <f>I345*F345</f>
        <v>0.0</v>
      </c>
      <c r="L345" s="7">
        <f>J345*F345</f>
        <v>0.0</v>
      </c>
    </row>
    <row r="346" spans="1:12">
      <c r="A346" s="6" t="s">
        <v>584</v>
      </c>
      <c r="B346" s="6" t="s">
        <v>767</v>
      </c>
      <c r="C346" s="11" t="s">
        <v>768</v>
      </c>
      <c r="D346" s="6" t="s">
        <v>179</v>
      </c>
      <c r="E346" s="7">
        <v>1569</v>
      </c>
      <c r="F346" s="7">
        <v>59.07</v>
      </c>
      <c r="G346" s="7">
        <v>92680.83</v>
      </c>
      <c r="H346" s="10">
        <v>0</v>
      </c>
      <c r="I346" s="10">
        <v>0</v>
      </c>
      <c r="J346" s="7">
        <f>H346+I346</f>
        <v>0.0</v>
      </c>
      <c r="K346" s="7">
        <f>I346*F346</f>
        <v>0.0</v>
      </c>
      <c r="L346" s="7">
        <f>J346*F346</f>
        <v>0.0</v>
      </c>
    </row>
    <row r="347" spans="1:12">
      <c r="A347" s="6" t="s">
        <v>584</v>
      </c>
      <c r="B347" s="6" t="s">
        <v>769</v>
      </c>
      <c r="C347" s="11" t="s">
        <v>770</v>
      </c>
      <c r="D347" s="6" t="s">
        <v>179</v>
      </c>
      <c r="E347" s="7">
        <v>1446</v>
      </c>
      <c r="F347" s="7">
        <v>96.66</v>
      </c>
      <c r="G347" s="7">
        <v>139770.36</v>
      </c>
      <c r="H347" s="10">
        <v>0</v>
      </c>
      <c r="I347" s="10">
        <v>0</v>
      </c>
      <c r="J347" s="7">
        <f>H347+I347</f>
        <v>0.0</v>
      </c>
      <c r="K347" s="7">
        <f>I347*F347</f>
        <v>0.0</v>
      </c>
      <c r="L347" s="7">
        <f>J347*F347</f>
        <v>0.0</v>
      </c>
    </row>
    <row r="348" spans="1:12">
      <c r="A348" s="6" t="s">
        <v>584</v>
      </c>
      <c r="B348" s="6" t="s">
        <v>771</v>
      </c>
      <c r="C348" s="11" t="s">
        <v>772</v>
      </c>
      <c r="D348" s="6" t="s">
        <v>179</v>
      </c>
      <c r="E348" s="7">
        <v>3642</v>
      </c>
      <c r="F348" s="7">
        <v>132.91</v>
      </c>
      <c r="G348" s="7">
        <v>484058.22</v>
      </c>
      <c r="H348" s="10">
        <v>0</v>
      </c>
      <c r="I348" s="10">
        <v>0</v>
      </c>
      <c r="J348" s="7">
        <f>H348+I348</f>
        <v>0.0</v>
      </c>
      <c r="K348" s="7">
        <f>I348*F348</f>
        <v>0.0</v>
      </c>
      <c r="L348" s="7">
        <f>J348*F348</f>
        <v>0.0</v>
      </c>
    </row>
    <row r="349" spans="1:12">
      <c r="A349" s="6" t="s">
        <v>584</v>
      </c>
      <c r="B349" s="6" t="s">
        <v>773</v>
      </c>
      <c r="C349" s="11" t="s">
        <v>774</v>
      </c>
      <c r="D349" s="6" t="s">
        <v>179</v>
      </c>
      <c r="E349" s="7">
        <v>2882</v>
      </c>
      <c r="F349" s="7">
        <v>167.82</v>
      </c>
      <c r="G349" s="7">
        <v>483657.24</v>
      </c>
      <c r="H349" s="10">
        <v>0</v>
      </c>
      <c r="I349" s="10">
        <v>0</v>
      </c>
      <c r="J349" s="7">
        <f>H349+I349</f>
        <v>0.0</v>
      </c>
      <c r="K349" s="7">
        <f>I349*F349</f>
        <v>0.0</v>
      </c>
      <c r="L349" s="7">
        <f>J349*F349</f>
        <v>0.0</v>
      </c>
    </row>
    <row r="350" spans="1:12">
      <c r="A350" s="6" t="s">
        <v>584</v>
      </c>
      <c r="B350" s="6" t="s">
        <v>775</v>
      </c>
      <c r="C350" s="11" t="s">
        <v>776</v>
      </c>
      <c r="D350" s="6" t="s">
        <v>179</v>
      </c>
      <c r="E350" s="7">
        <v>1810</v>
      </c>
      <c r="F350" s="7">
        <v>181.24</v>
      </c>
      <c r="G350" s="7">
        <v>328044.4</v>
      </c>
      <c r="H350" s="10">
        <v>0</v>
      </c>
      <c r="I350" s="10">
        <v>0</v>
      </c>
      <c r="J350" s="7">
        <f>H350+I350</f>
        <v>0.0</v>
      </c>
      <c r="K350" s="7">
        <f>I350*F350</f>
        <v>0.0</v>
      </c>
      <c r="L350" s="7">
        <f>J350*F350</f>
        <v>0.0</v>
      </c>
    </row>
    <row r="351" spans="1:12">
      <c r="A351" s="6" t="s">
        <v>584</v>
      </c>
      <c r="B351" s="6" t="s">
        <v>777</v>
      </c>
      <c r="C351" s="11" t="s">
        <v>778</v>
      </c>
      <c r="D351" s="6" t="s">
        <v>179</v>
      </c>
      <c r="E351" s="7">
        <v>692</v>
      </c>
      <c r="F351" s="7">
        <v>575.95</v>
      </c>
      <c r="G351" s="7">
        <v>398557.4</v>
      </c>
      <c r="H351" s="10">
        <v>0</v>
      </c>
      <c r="I351" s="10">
        <v>0</v>
      </c>
      <c r="J351" s="7">
        <f>H351+I351</f>
        <v>0.0</v>
      </c>
      <c r="K351" s="7">
        <f>I351*F351</f>
        <v>0.0</v>
      </c>
      <c r="L351" s="7">
        <f>J351*F351</f>
        <v>0.0</v>
      </c>
    </row>
    <row r="352" spans="1:12">
      <c r="A352" s="6" t="s">
        <v>584</v>
      </c>
      <c r="B352" s="6" t="s">
        <v>779</v>
      </c>
      <c r="C352" s="11" t="s">
        <v>780</v>
      </c>
      <c r="D352" s="6" t="s">
        <v>179</v>
      </c>
      <c r="E352" s="7">
        <v>49</v>
      </c>
      <c r="F352" s="7">
        <v>275.22</v>
      </c>
      <c r="G352" s="7">
        <v>13485.78</v>
      </c>
      <c r="H352" s="10">
        <v>0</v>
      </c>
      <c r="I352" s="10">
        <v>0</v>
      </c>
      <c r="J352" s="7">
        <f>H352+I352</f>
        <v>0.0</v>
      </c>
      <c r="K352" s="7">
        <f>I352*F352</f>
        <v>0.0</v>
      </c>
      <c r="L352" s="7">
        <f>J352*F352</f>
        <v>0.0</v>
      </c>
    </row>
    <row r="353" spans="1:12">
      <c r="A353" s="6" t="s">
        <v>584</v>
      </c>
      <c r="B353" s="6" t="s">
        <v>781</v>
      </c>
      <c r="C353" s="11" t="s">
        <v>782</v>
      </c>
      <c r="D353" s="6" t="s">
        <v>179</v>
      </c>
      <c r="E353" s="7">
        <v>38</v>
      </c>
      <c r="F353" s="7">
        <v>315.5</v>
      </c>
      <c r="G353" s="7">
        <v>11989</v>
      </c>
      <c r="H353" s="10">
        <v>0</v>
      </c>
      <c r="I353" s="10">
        <v>0</v>
      </c>
      <c r="J353" s="7">
        <f>H353+I353</f>
        <v>0.0</v>
      </c>
      <c r="K353" s="7">
        <f>I353*F353</f>
        <v>0.0</v>
      </c>
      <c r="L353" s="7">
        <f>J353*F353</f>
        <v>0.0</v>
      </c>
    </row>
    <row r="354" spans="1:12">
      <c r="A354" s="6" t="s">
        <v>584</v>
      </c>
      <c r="B354" s="6" t="s">
        <v>783</v>
      </c>
      <c r="C354" s="11" t="s">
        <v>784</v>
      </c>
      <c r="D354" s="6" t="s">
        <v>179</v>
      </c>
      <c r="E354" s="7">
        <v>2452</v>
      </c>
      <c r="F354" s="7">
        <v>369.2</v>
      </c>
      <c r="G354" s="7">
        <v>905278.4</v>
      </c>
      <c r="H354" s="10">
        <v>0</v>
      </c>
      <c r="I354" s="10">
        <v>0</v>
      </c>
      <c r="J354" s="7">
        <f>H354+I354</f>
        <v>0.0</v>
      </c>
      <c r="K354" s="7">
        <f>I354*F354</f>
        <v>0.0</v>
      </c>
      <c r="L354" s="7">
        <f>J354*F354</f>
        <v>0.0</v>
      </c>
    </row>
    <row r="355" spans="1:12">
      <c r="A355" s="6" t="s">
        <v>584</v>
      </c>
      <c r="B355" s="6" t="s">
        <v>785</v>
      </c>
      <c r="C355" s="11" t="s">
        <v>786</v>
      </c>
      <c r="D355" s="6" t="s">
        <v>179</v>
      </c>
      <c r="E355" s="7">
        <v>1158</v>
      </c>
      <c r="F355" s="7">
        <v>396.05</v>
      </c>
      <c r="G355" s="7">
        <v>458625.9</v>
      </c>
      <c r="H355" s="10">
        <v>0</v>
      </c>
      <c r="I355" s="10">
        <v>0</v>
      </c>
      <c r="J355" s="7">
        <f>H355+I355</f>
        <v>0.0</v>
      </c>
      <c r="K355" s="7">
        <f>I355*F355</f>
        <v>0.0</v>
      </c>
      <c r="L355" s="7">
        <f>J355*F355</f>
        <v>0.0</v>
      </c>
    </row>
    <row r="356" spans="1:12">
      <c r="A356" s="6" t="s">
        <v>584</v>
      </c>
      <c r="B356" s="6" t="s">
        <v>787</v>
      </c>
      <c r="C356" s="11" t="s">
        <v>788</v>
      </c>
      <c r="D356" s="6" t="s">
        <v>179</v>
      </c>
      <c r="E356" s="7">
        <v>6167</v>
      </c>
      <c r="F356" s="7">
        <v>56.53</v>
      </c>
      <c r="G356" s="7">
        <v>348620.51</v>
      </c>
      <c r="H356" s="10">
        <v>0</v>
      </c>
      <c r="I356" s="10">
        <v>0</v>
      </c>
      <c r="J356" s="7">
        <f>H356+I356</f>
        <v>0.0</v>
      </c>
      <c r="K356" s="7">
        <f>I356*F356</f>
        <v>0.0</v>
      </c>
      <c r="L356" s="7">
        <f>J356*F356</f>
        <v>0.0</v>
      </c>
    </row>
    <row r="357" spans="1:12">
      <c r="A357" s="6" t="s">
        <v>584</v>
      </c>
      <c r="B357" s="6" t="s">
        <v>789</v>
      </c>
      <c r="C357" s="11" t="s">
        <v>790</v>
      </c>
      <c r="D357" s="6" t="s">
        <v>179</v>
      </c>
      <c r="E357" s="7">
        <v>3678</v>
      </c>
      <c r="F357" s="7">
        <v>61.9</v>
      </c>
      <c r="G357" s="7">
        <v>227668.2</v>
      </c>
      <c r="H357" s="10">
        <v>0</v>
      </c>
      <c r="I357" s="10">
        <v>0</v>
      </c>
      <c r="J357" s="7">
        <f>H357+I357</f>
        <v>0.0</v>
      </c>
      <c r="K357" s="7">
        <f>I357*F357</f>
        <v>0.0</v>
      </c>
      <c r="L357" s="7">
        <f>J357*F357</f>
        <v>0.0</v>
      </c>
    </row>
    <row r="358" spans="1:12">
      <c r="A358" s="6" t="s">
        <v>584</v>
      </c>
      <c r="B358" s="6" t="s">
        <v>791</v>
      </c>
      <c r="C358" s="11" t="s">
        <v>792</v>
      </c>
      <c r="D358" s="6" t="s">
        <v>179</v>
      </c>
      <c r="E358" s="7">
        <v>3341</v>
      </c>
      <c r="F358" s="7">
        <v>99.48999999999999</v>
      </c>
      <c r="G358" s="7">
        <v>332396.09</v>
      </c>
      <c r="H358" s="10">
        <v>0</v>
      </c>
      <c r="I358" s="10">
        <v>0</v>
      </c>
      <c r="J358" s="7">
        <f>H358+I358</f>
        <v>0.0</v>
      </c>
      <c r="K358" s="7">
        <f>I358*F358</f>
        <v>0.0</v>
      </c>
      <c r="L358" s="7">
        <f>J358*F358</f>
        <v>0.0</v>
      </c>
    </row>
    <row r="359" spans="1:12">
      <c r="A359" s="6" t="s">
        <v>584</v>
      </c>
      <c r="B359" s="6" t="s">
        <v>793</v>
      </c>
      <c r="C359" s="11" t="s">
        <v>794</v>
      </c>
      <c r="D359" s="6" t="s">
        <v>179</v>
      </c>
      <c r="E359" s="7">
        <v>1528</v>
      </c>
      <c r="F359" s="7">
        <v>135.74</v>
      </c>
      <c r="G359" s="7">
        <v>207410.72</v>
      </c>
      <c r="H359" s="10">
        <v>0</v>
      </c>
      <c r="I359" s="10">
        <v>0</v>
      </c>
      <c r="J359" s="7">
        <f>H359+I359</f>
        <v>0.0</v>
      </c>
      <c r="K359" s="7">
        <f>I359*F359</f>
        <v>0.0</v>
      </c>
      <c r="L359" s="7">
        <f>J359*F359</f>
        <v>0.0</v>
      </c>
    </row>
    <row r="360" spans="1:12">
      <c r="A360" s="6" t="s">
        <v>584</v>
      </c>
      <c r="B360" s="6" t="s">
        <v>795</v>
      </c>
      <c r="C360" s="11" t="s">
        <v>796</v>
      </c>
      <c r="D360" s="6" t="s">
        <v>179</v>
      </c>
      <c r="E360" s="7">
        <v>977</v>
      </c>
      <c r="F360" s="7">
        <v>170.64</v>
      </c>
      <c r="G360" s="7">
        <v>166715.28</v>
      </c>
      <c r="H360" s="10">
        <v>0</v>
      </c>
      <c r="I360" s="10">
        <v>0</v>
      </c>
      <c r="J360" s="7">
        <f>H360+I360</f>
        <v>0.0</v>
      </c>
      <c r="K360" s="7">
        <f>I360*F360</f>
        <v>0.0</v>
      </c>
      <c r="L360" s="7">
        <f>J360*F360</f>
        <v>0.0</v>
      </c>
    </row>
    <row r="361" spans="1:12">
      <c r="A361" s="6" t="s">
        <v>584</v>
      </c>
      <c r="B361" s="6" t="s">
        <v>797</v>
      </c>
      <c r="C361" s="11" t="s">
        <v>798</v>
      </c>
      <c r="D361" s="6" t="s">
        <v>179</v>
      </c>
      <c r="E361" s="7">
        <v>1836</v>
      </c>
      <c r="F361" s="7">
        <v>184.07</v>
      </c>
      <c r="G361" s="7">
        <v>337952.52</v>
      </c>
      <c r="H361" s="10">
        <v>0</v>
      </c>
      <c r="I361" s="10">
        <v>0</v>
      </c>
      <c r="J361" s="7">
        <f>H361+I361</f>
        <v>0.0</v>
      </c>
      <c r="K361" s="7">
        <f>I361*F361</f>
        <v>0.0</v>
      </c>
      <c r="L361" s="7">
        <f>J361*F361</f>
        <v>0.0</v>
      </c>
    </row>
    <row r="362" spans="1:12">
      <c r="A362" s="6" t="s">
        <v>584</v>
      </c>
      <c r="B362" s="6" t="s">
        <v>799</v>
      </c>
      <c r="C362" s="11" t="s">
        <v>800</v>
      </c>
      <c r="D362" s="6" t="s">
        <v>179</v>
      </c>
      <c r="E362" s="7">
        <v>1934</v>
      </c>
      <c r="F362" s="7">
        <v>237.77</v>
      </c>
      <c r="G362" s="7">
        <v>459847.18</v>
      </c>
      <c r="H362" s="10">
        <v>0</v>
      </c>
      <c r="I362" s="10">
        <v>0</v>
      </c>
      <c r="J362" s="7">
        <f>H362+I362</f>
        <v>0.0</v>
      </c>
      <c r="K362" s="7">
        <f>I362*F362</f>
        <v>0.0</v>
      </c>
      <c r="L362" s="7">
        <f>J362*F362</f>
        <v>0.0</v>
      </c>
    </row>
    <row r="363" spans="1:12">
      <c r="A363" s="6" t="s">
        <v>584</v>
      </c>
      <c r="B363" s="6" t="s">
        <v>801</v>
      </c>
      <c r="C363" s="11" t="s">
        <v>802</v>
      </c>
      <c r="D363" s="6" t="s">
        <v>179</v>
      </c>
      <c r="E363" s="7">
        <v>153</v>
      </c>
      <c r="F363" s="7">
        <v>278.05</v>
      </c>
      <c r="G363" s="7">
        <v>42541.65</v>
      </c>
      <c r="H363" s="10">
        <v>0</v>
      </c>
      <c r="I363" s="10">
        <v>0</v>
      </c>
      <c r="J363" s="7">
        <f>H363+I363</f>
        <v>0.0</v>
      </c>
      <c r="K363" s="7">
        <f>I363*F363</f>
        <v>0.0</v>
      </c>
      <c r="L363" s="7">
        <f>J363*F363</f>
        <v>0.0</v>
      </c>
    </row>
    <row r="364" spans="1:12">
      <c r="A364" s="6" t="s">
        <v>584</v>
      </c>
      <c r="B364" s="6" t="s">
        <v>803</v>
      </c>
      <c r="C364" s="11" t="s">
        <v>804</v>
      </c>
      <c r="D364" s="6" t="s">
        <v>179</v>
      </c>
      <c r="E364" s="7">
        <v>1739</v>
      </c>
      <c r="F364" s="7">
        <v>372.03</v>
      </c>
      <c r="G364" s="7">
        <v>646960.17</v>
      </c>
      <c r="H364" s="10">
        <v>0</v>
      </c>
      <c r="I364" s="10">
        <v>0</v>
      </c>
      <c r="J364" s="7">
        <f>H364+I364</f>
        <v>0.0</v>
      </c>
      <c r="K364" s="7">
        <f>I364*F364</f>
        <v>0.0</v>
      </c>
      <c r="L364" s="7">
        <f>J364*F364</f>
        <v>0.0</v>
      </c>
    </row>
    <row r="365" spans="1:12">
      <c r="A365" s="6" t="s">
        <v>584</v>
      </c>
      <c r="B365" s="6" t="s">
        <v>805</v>
      </c>
      <c r="C365" s="11" t="s">
        <v>806</v>
      </c>
      <c r="D365" s="6" t="s">
        <v>179</v>
      </c>
      <c r="E365" s="7">
        <v>1589</v>
      </c>
      <c r="F365" s="7">
        <v>398.88</v>
      </c>
      <c r="G365" s="7">
        <v>633820.3199999999</v>
      </c>
      <c r="H365" s="10">
        <v>0</v>
      </c>
      <c r="I365" s="10">
        <v>0</v>
      </c>
      <c r="J365" s="7">
        <f>H365+I365</f>
        <v>0.0</v>
      </c>
      <c r="K365" s="7">
        <f>I365*F365</f>
        <v>0.0</v>
      </c>
      <c r="L365" s="7">
        <f>J365*F365</f>
        <v>0.0</v>
      </c>
    </row>
    <row r="366" spans="1:12">
      <c r="A366" s="6" t="s">
        <v>584</v>
      </c>
      <c r="B366" s="6" t="s">
        <v>807</v>
      </c>
      <c r="C366" s="11" t="s">
        <v>808</v>
      </c>
      <c r="D366" s="6" t="s">
        <v>130</v>
      </c>
      <c r="E366" s="7">
        <v>3</v>
      </c>
      <c r="F366" s="7">
        <v>4967.42</v>
      </c>
      <c r="G366" s="7">
        <v>14902.26</v>
      </c>
      <c r="H366" s="10">
        <v>0</v>
      </c>
      <c r="I366" s="10">
        <v>0</v>
      </c>
      <c r="J366" s="7">
        <f>H366+I366</f>
        <v>0.0</v>
      </c>
      <c r="K366" s="7">
        <f>I366*F366</f>
        <v>0.0</v>
      </c>
      <c r="L366" s="7">
        <f>J366*F366</f>
        <v>0.0</v>
      </c>
    </row>
    <row r="367" spans="1:12">
      <c r="A367" s="6" t="s">
        <v>584</v>
      </c>
      <c r="B367" s="6" t="s">
        <v>809</v>
      </c>
      <c r="C367" s="11" t="s">
        <v>810</v>
      </c>
      <c r="D367" s="6" t="s">
        <v>130</v>
      </c>
      <c r="E367" s="7">
        <v>1</v>
      </c>
      <c r="F367" s="7">
        <v>5235.93</v>
      </c>
      <c r="G367" s="7">
        <v>5235.93</v>
      </c>
      <c r="H367" s="10">
        <v>0</v>
      </c>
      <c r="I367" s="10">
        <v>0</v>
      </c>
      <c r="J367" s="7">
        <f>H367+I367</f>
        <v>0.0</v>
      </c>
      <c r="K367" s="7">
        <f>I367*F367</f>
        <v>0.0</v>
      </c>
      <c r="L367" s="7">
        <f>J367*F367</f>
        <v>0.0</v>
      </c>
    </row>
    <row r="368" spans="1:12">
      <c r="A368" s="6" t="s">
        <v>584</v>
      </c>
      <c r="B368" s="6" t="s">
        <v>811</v>
      </c>
      <c r="C368" s="11" t="s">
        <v>812</v>
      </c>
      <c r="D368" s="6" t="s">
        <v>130</v>
      </c>
      <c r="E368" s="7">
        <v>3</v>
      </c>
      <c r="F368" s="7">
        <v>5772.95</v>
      </c>
      <c r="G368" s="7">
        <v>17318.85</v>
      </c>
      <c r="H368" s="10">
        <v>0</v>
      </c>
      <c r="I368" s="10">
        <v>0</v>
      </c>
      <c r="J368" s="7">
        <f>H368+I368</f>
        <v>0.0</v>
      </c>
      <c r="K368" s="7">
        <f>I368*F368</f>
        <v>0.0</v>
      </c>
      <c r="L368" s="7">
        <f>J368*F368</f>
        <v>0.0</v>
      </c>
    </row>
    <row r="369" spans="1:12">
      <c r="A369" s="6" t="s">
        <v>584</v>
      </c>
      <c r="B369" s="6" t="s">
        <v>813</v>
      </c>
      <c r="C369" s="11" t="s">
        <v>814</v>
      </c>
      <c r="D369" s="6" t="s">
        <v>130</v>
      </c>
      <c r="E369" s="7">
        <v>3</v>
      </c>
      <c r="F369" s="7">
        <v>6175.71</v>
      </c>
      <c r="G369" s="7">
        <v>18527.13</v>
      </c>
      <c r="H369" s="10">
        <v>0</v>
      </c>
      <c r="I369" s="10">
        <v>0</v>
      </c>
      <c r="J369" s="7">
        <f>H369+I369</f>
        <v>0.0</v>
      </c>
      <c r="K369" s="7">
        <f>I369*F369</f>
        <v>0.0</v>
      </c>
      <c r="L369" s="7">
        <f>J369*F369</f>
        <v>0.0</v>
      </c>
    </row>
    <row r="370" spans="1:12">
      <c r="A370" s="6" t="s">
        <v>584</v>
      </c>
      <c r="B370" s="6" t="s">
        <v>815</v>
      </c>
      <c r="C370" s="11" t="s">
        <v>816</v>
      </c>
      <c r="D370" s="6" t="s">
        <v>130</v>
      </c>
      <c r="E370" s="7">
        <v>4</v>
      </c>
      <c r="F370" s="7">
        <v>6578.48</v>
      </c>
      <c r="G370" s="7">
        <v>26313.92</v>
      </c>
      <c r="H370" s="10">
        <v>0</v>
      </c>
      <c r="I370" s="10">
        <v>0</v>
      </c>
      <c r="J370" s="7">
        <f>H370+I370</f>
        <v>0.0</v>
      </c>
      <c r="K370" s="7">
        <f>I370*F370</f>
        <v>0.0</v>
      </c>
      <c r="L370" s="7">
        <f>J370*F370</f>
        <v>0.0</v>
      </c>
    </row>
    <row r="371" spans="1:12">
      <c r="A371" s="6" t="s">
        <v>584</v>
      </c>
      <c r="B371" s="6" t="s">
        <v>817</v>
      </c>
      <c r="C371" s="11" t="s">
        <v>818</v>
      </c>
      <c r="D371" s="6" t="s">
        <v>130</v>
      </c>
      <c r="E371" s="7">
        <v>1</v>
      </c>
      <c r="F371" s="7">
        <v>6981.24</v>
      </c>
      <c r="G371" s="7">
        <v>6981.24</v>
      </c>
      <c r="H371" s="10">
        <v>0</v>
      </c>
      <c r="I371" s="10">
        <v>0</v>
      </c>
      <c r="J371" s="7">
        <f>H371+I371</f>
        <v>0.0</v>
      </c>
      <c r="K371" s="7">
        <f>I371*F371</f>
        <v>0.0</v>
      </c>
      <c r="L371" s="7">
        <f>J371*F371</f>
        <v>0.0</v>
      </c>
    </row>
    <row r="372" spans="1:12">
      <c r="A372" s="6" t="s">
        <v>584</v>
      </c>
      <c r="B372" s="6" t="s">
        <v>819</v>
      </c>
      <c r="C372" s="11" t="s">
        <v>820</v>
      </c>
      <c r="D372" s="6" t="s">
        <v>130</v>
      </c>
      <c r="E372" s="7">
        <v>1</v>
      </c>
      <c r="F372" s="7">
        <v>7249.75</v>
      </c>
      <c r="G372" s="7">
        <v>7249.75</v>
      </c>
      <c r="H372" s="10">
        <v>0</v>
      </c>
      <c r="I372" s="10">
        <v>0</v>
      </c>
      <c r="J372" s="7">
        <f>H372+I372</f>
        <v>0.0</v>
      </c>
      <c r="K372" s="7">
        <f>I372*F372</f>
        <v>0.0</v>
      </c>
      <c r="L372" s="7">
        <f>J372*F372</f>
        <v>0.0</v>
      </c>
    </row>
    <row r="373" spans="1:12">
      <c r="A373" s="6" t="s">
        <v>584</v>
      </c>
      <c r="B373" s="6" t="s">
        <v>821</v>
      </c>
      <c r="C373" s="11" t="s">
        <v>822</v>
      </c>
      <c r="D373" s="6" t="s">
        <v>130</v>
      </c>
      <c r="E373" s="7">
        <v>1</v>
      </c>
      <c r="F373" s="7">
        <v>7921.02</v>
      </c>
      <c r="G373" s="7">
        <v>7921.02</v>
      </c>
      <c r="H373" s="10">
        <v>0</v>
      </c>
      <c r="I373" s="10">
        <v>0</v>
      </c>
      <c r="J373" s="7">
        <f>H373+I373</f>
        <v>0.0</v>
      </c>
      <c r="K373" s="7">
        <f>I373*F373</f>
        <v>0.0</v>
      </c>
      <c r="L373" s="7">
        <f>J373*F373</f>
        <v>0.0</v>
      </c>
    </row>
    <row r="374" spans="1:12">
      <c r="A374" s="6" t="s">
        <v>584</v>
      </c>
      <c r="B374" s="6" t="s">
        <v>823</v>
      </c>
      <c r="C374" s="11" t="s">
        <v>824</v>
      </c>
      <c r="D374" s="6" t="s">
        <v>130</v>
      </c>
      <c r="E374" s="7">
        <v>2</v>
      </c>
      <c r="F374" s="7">
        <v>8726.549999999999</v>
      </c>
      <c r="G374" s="7">
        <v>17453.1</v>
      </c>
      <c r="H374" s="10">
        <v>0</v>
      </c>
      <c r="I374" s="10">
        <v>0</v>
      </c>
      <c r="J374" s="7">
        <f>H374+I374</f>
        <v>0.0</v>
      </c>
      <c r="K374" s="7">
        <f>I374*F374</f>
        <v>0.0</v>
      </c>
      <c r="L374" s="7">
        <f>J374*F374</f>
        <v>0.0</v>
      </c>
    </row>
    <row r="375" spans="1:12">
      <c r="A375" s="6" t="s">
        <v>584</v>
      </c>
      <c r="B375" s="6" t="s">
        <v>825</v>
      </c>
      <c r="C375" s="11" t="s">
        <v>826</v>
      </c>
      <c r="D375" s="6" t="s">
        <v>130</v>
      </c>
      <c r="E375" s="7">
        <v>2</v>
      </c>
      <c r="F375" s="7">
        <v>9397.82</v>
      </c>
      <c r="G375" s="7">
        <v>18795.64</v>
      </c>
      <c r="H375" s="10">
        <v>0</v>
      </c>
      <c r="I375" s="10">
        <v>0</v>
      </c>
      <c r="J375" s="7">
        <f>H375+I375</f>
        <v>0.0</v>
      </c>
      <c r="K375" s="7">
        <f>I375*F375</f>
        <v>0.0</v>
      </c>
      <c r="L375" s="7">
        <f>J375*F375</f>
        <v>0.0</v>
      </c>
    </row>
    <row r="376" spans="1:12">
      <c r="A376" s="6" t="s">
        <v>584</v>
      </c>
      <c r="B376" s="6" t="s">
        <v>827</v>
      </c>
      <c r="C376" s="11" t="s">
        <v>828</v>
      </c>
      <c r="D376" s="6" t="s">
        <v>130</v>
      </c>
      <c r="E376" s="7">
        <v>7</v>
      </c>
      <c r="F376" s="7">
        <v>3826.26</v>
      </c>
      <c r="G376" s="7">
        <v>26783.82</v>
      </c>
      <c r="H376" s="10">
        <v>0</v>
      </c>
      <c r="I376" s="10">
        <v>0</v>
      </c>
      <c r="J376" s="7">
        <f>H376+I376</f>
        <v>0.0</v>
      </c>
      <c r="K376" s="7">
        <f>I376*F376</f>
        <v>0.0</v>
      </c>
      <c r="L376" s="7">
        <f>J376*F376</f>
        <v>0.0</v>
      </c>
    </row>
    <row r="377" spans="1:12">
      <c r="A377" s="6" t="s">
        <v>584</v>
      </c>
      <c r="B377" s="6" t="s">
        <v>829</v>
      </c>
      <c r="C377" s="11" t="s">
        <v>830</v>
      </c>
      <c r="D377" s="6" t="s">
        <v>130</v>
      </c>
      <c r="E377" s="7">
        <v>8</v>
      </c>
      <c r="F377" s="7">
        <v>4296.15</v>
      </c>
      <c r="G377" s="7">
        <v>34369.2</v>
      </c>
      <c r="H377" s="10">
        <v>0</v>
      </c>
      <c r="I377" s="10">
        <v>0</v>
      </c>
      <c r="J377" s="7">
        <f>H377+I377</f>
        <v>0.0</v>
      </c>
      <c r="K377" s="7">
        <f>I377*F377</f>
        <v>0.0</v>
      </c>
      <c r="L377" s="7">
        <f>J377*F377</f>
        <v>0.0</v>
      </c>
    </row>
    <row r="378" spans="1:12">
      <c r="A378" s="6" t="s">
        <v>584</v>
      </c>
      <c r="B378" s="6" t="s">
        <v>831</v>
      </c>
      <c r="C378" s="11" t="s">
        <v>832</v>
      </c>
      <c r="D378" s="6" t="s">
        <v>130</v>
      </c>
      <c r="E378" s="7">
        <v>8</v>
      </c>
      <c r="F378" s="7">
        <v>4564.66</v>
      </c>
      <c r="G378" s="7">
        <v>36517.28</v>
      </c>
      <c r="H378" s="10">
        <v>0</v>
      </c>
      <c r="I378" s="10">
        <v>0</v>
      </c>
      <c r="J378" s="7">
        <f>H378+I378</f>
        <v>0.0</v>
      </c>
      <c r="K378" s="7">
        <f>I378*F378</f>
        <v>0.0</v>
      </c>
      <c r="L378" s="7">
        <f>J378*F378</f>
        <v>0.0</v>
      </c>
    </row>
    <row r="379" spans="1:12">
      <c r="A379" s="6" t="s">
        <v>584</v>
      </c>
      <c r="B379" s="6" t="s">
        <v>833</v>
      </c>
      <c r="C379" s="11" t="s">
        <v>834</v>
      </c>
      <c r="D379" s="6" t="s">
        <v>130</v>
      </c>
      <c r="E379" s="7">
        <v>14</v>
      </c>
      <c r="F379" s="7">
        <v>5101.68</v>
      </c>
      <c r="G379" s="7">
        <v>71423.52</v>
      </c>
      <c r="H379" s="10">
        <v>0</v>
      </c>
      <c r="I379" s="10">
        <v>0</v>
      </c>
      <c r="J379" s="7">
        <f>H379+I379</f>
        <v>0.0</v>
      </c>
      <c r="K379" s="7">
        <f>I379*F379</f>
        <v>0.0</v>
      </c>
      <c r="L379" s="7">
        <f>J379*F379</f>
        <v>0.0</v>
      </c>
    </row>
    <row r="380" spans="1:12">
      <c r="A380" s="6" t="s">
        <v>584</v>
      </c>
      <c r="B380" s="6" t="s">
        <v>835</v>
      </c>
      <c r="C380" s="11" t="s">
        <v>836</v>
      </c>
      <c r="D380" s="6" t="s">
        <v>130</v>
      </c>
      <c r="E380" s="7">
        <v>4</v>
      </c>
      <c r="F380" s="7">
        <v>5638.69</v>
      </c>
      <c r="G380" s="7">
        <v>22554.76</v>
      </c>
      <c r="H380" s="10">
        <v>0</v>
      </c>
      <c r="I380" s="10">
        <v>0</v>
      </c>
      <c r="J380" s="7">
        <f>H380+I380</f>
        <v>0.0</v>
      </c>
      <c r="K380" s="7">
        <f>I380*F380</f>
        <v>0.0</v>
      </c>
      <c r="L380" s="7">
        <f>J380*F380</f>
        <v>0.0</v>
      </c>
    </row>
    <row r="381" spans="1:12">
      <c r="A381" s="6" t="s">
        <v>584</v>
      </c>
      <c r="B381" s="6" t="s">
        <v>837</v>
      </c>
      <c r="C381" s="11" t="s">
        <v>838</v>
      </c>
      <c r="D381" s="6" t="s">
        <v>130</v>
      </c>
      <c r="E381" s="7">
        <v>5</v>
      </c>
      <c r="F381" s="7">
        <v>5907.2</v>
      </c>
      <c r="G381" s="7">
        <v>29536</v>
      </c>
      <c r="H381" s="10">
        <v>0</v>
      </c>
      <c r="I381" s="10">
        <v>0</v>
      </c>
      <c r="J381" s="7">
        <f>H381+I381</f>
        <v>0.0</v>
      </c>
      <c r="K381" s="7">
        <f>I381*F381</f>
        <v>0.0</v>
      </c>
      <c r="L381" s="7">
        <f>J381*F381</f>
        <v>0.0</v>
      </c>
    </row>
    <row r="382" spans="1:12">
      <c r="A382" s="6" t="s">
        <v>584</v>
      </c>
      <c r="B382" s="6" t="s">
        <v>839</v>
      </c>
      <c r="C382" s="11" t="s">
        <v>840</v>
      </c>
      <c r="D382" s="6" t="s">
        <v>130</v>
      </c>
      <c r="E382" s="7">
        <v>3</v>
      </c>
      <c r="F382" s="7">
        <v>6309.97</v>
      </c>
      <c r="G382" s="7">
        <v>18929.91</v>
      </c>
      <c r="H382" s="10">
        <v>0</v>
      </c>
      <c r="I382" s="10">
        <v>0</v>
      </c>
      <c r="J382" s="7">
        <f>H382+I382</f>
        <v>0.0</v>
      </c>
      <c r="K382" s="7">
        <f>I382*F382</f>
        <v>0.0</v>
      </c>
      <c r="L382" s="7">
        <f>J382*F382</f>
        <v>0.0</v>
      </c>
    </row>
    <row r="383" spans="1:12">
      <c r="A383" s="6" t="s">
        <v>584</v>
      </c>
      <c r="B383" s="6" t="s">
        <v>841</v>
      </c>
      <c r="C383" s="11" t="s">
        <v>842</v>
      </c>
      <c r="D383" s="6" t="s">
        <v>130</v>
      </c>
      <c r="E383" s="7">
        <v>1</v>
      </c>
      <c r="F383" s="7">
        <v>6712.73</v>
      </c>
      <c r="G383" s="7">
        <v>6712.73</v>
      </c>
      <c r="H383" s="10">
        <v>0</v>
      </c>
      <c r="I383" s="10">
        <v>0</v>
      </c>
      <c r="J383" s="7">
        <f>H383+I383</f>
        <v>0.0</v>
      </c>
      <c r="K383" s="7">
        <f>I383*F383</f>
        <v>0.0</v>
      </c>
      <c r="L383" s="7">
        <f>J383*F383</f>
        <v>0.0</v>
      </c>
    </row>
    <row r="384" spans="1:12">
      <c r="A384" s="6" t="s">
        <v>584</v>
      </c>
      <c r="B384" s="6" t="s">
        <v>843</v>
      </c>
      <c r="C384" s="11" t="s">
        <v>844</v>
      </c>
      <c r="D384" s="6" t="s">
        <v>130</v>
      </c>
      <c r="E384" s="7">
        <v>4</v>
      </c>
      <c r="F384" s="7">
        <v>7115.49</v>
      </c>
      <c r="G384" s="7">
        <v>28461.96</v>
      </c>
      <c r="H384" s="10">
        <v>0</v>
      </c>
      <c r="I384" s="10">
        <v>0</v>
      </c>
      <c r="J384" s="7">
        <f>H384+I384</f>
        <v>0.0</v>
      </c>
      <c r="K384" s="7">
        <f>I384*F384</f>
        <v>0.0</v>
      </c>
      <c r="L384" s="7">
        <f>J384*F384</f>
        <v>0.0</v>
      </c>
    </row>
    <row r="385" spans="1:12">
      <c r="A385" s="6" t="s">
        <v>584</v>
      </c>
      <c r="B385" s="6" t="s">
        <v>845</v>
      </c>
      <c r="C385" s="11" t="s">
        <v>846</v>
      </c>
      <c r="D385" s="6" t="s">
        <v>130</v>
      </c>
      <c r="E385" s="7">
        <v>3</v>
      </c>
      <c r="F385" s="7">
        <v>8055.28</v>
      </c>
      <c r="G385" s="7">
        <v>24165.84</v>
      </c>
      <c r="H385" s="10">
        <v>0</v>
      </c>
      <c r="I385" s="10">
        <v>0</v>
      </c>
      <c r="J385" s="7">
        <f>H385+I385</f>
        <v>0.0</v>
      </c>
      <c r="K385" s="7">
        <f>I385*F385</f>
        <v>0.0</v>
      </c>
      <c r="L385" s="7">
        <f>J385*F385</f>
        <v>0.0</v>
      </c>
    </row>
    <row r="386" spans="1:12">
      <c r="A386" s="6" t="s">
        <v>584</v>
      </c>
      <c r="B386" s="6" t="s">
        <v>847</v>
      </c>
      <c r="C386" s="11" t="s">
        <v>848</v>
      </c>
      <c r="D386" s="6" t="s">
        <v>130</v>
      </c>
      <c r="E386" s="7">
        <v>3</v>
      </c>
      <c r="F386" s="7">
        <v>7384</v>
      </c>
      <c r="G386" s="7">
        <v>22152</v>
      </c>
      <c r="H386" s="10">
        <v>0</v>
      </c>
      <c r="I386" s="10">
        <v>0</v>
      </c>
      <c r="J386" s="7">
        <f>H386+I386</f>
        <v>0.0</v>
      </c>
      <c r="K386" s="7">
        <f>I386*F386</f>
        <v>0.0</v>
      </c>
      <c r="L386" s="7">
        <f>J386*F386</f>
        <v>0.0</v>
      </c>
    </row>
    <row r="387" spans="1:12">
      <c r="A387" s="6" t="s">
        <v>584</v>
      </c>
      <c r="B387" s="6" t="s">
        <v>849</v>
      </c>
      <c r="C387" s="11" t="s">
        <v>850</v>
      </c>
      <c r="D387" s="6" t="s">
        <v>130</v>
      </c>
      <c r="E387" s="7">
        <v>2</v>
      </c>
      <c r="F387" s="7">
        <v>8323.790000000001</v>
      </c>
      <c r="G387" s="7">
        <v>16647.58</v>
      </c>
      <c r="H387" s="10">
        <v>0</v>
      </c>
      <c r="I387" s="10">
        <v>0</v>
      </c>
      <c r="J387" s="7">
        <f>H387+I387</f>
        <v>0.0</v>
      </c>
      <c r="K387" s="7">
        <f>I387*F387</f>
        <v>0.0</v>
      </c>
      <c r="L387" s="7">
        <f>J387*F387</f>
        <v>0.0</v>
      </c>
    </row>
    <row r="388" spans="1:12">
      <c r="A388" s="6" t="s">
        <v>584</v>
      </c>
      <c r="B388" s="6" t="s">
        <v>851</v>
      </c>
      <c r="C388" s="11" t="s">
        <v>852</v>
      </c>
      <c r="D388" s="6" t="s">
        <v>130</v>
      </c>
      <c r="E388" s="7">
        <v>1</v>
      </c>
      <c r="F388" s="7">
        <v>9397.82</v>
      </c>
      <c r="G388" s="7">
        <v>9397.82</v>
      </c>
      <c r="H388" s="10">
        <v>0</v>
      </c>
      <c r="I388" s="10">
        <v>0</v>
      </c>
      <c r="J388" s="7">
        <f>H388+I388</f>
        <v>0.0</v>
      </c>
      <c r="K388" s="7">
        <f>I388*F388</f>
        <v>0.0</v>
      </c>
      <c r="L388" s="7">
        <f>J388*F388</f>
        <v>0.0</v>
      </c>
    </row>
    <row r="389" spans="1:12">
      <c r="A389" s="6" t="s">
        <v>584</v>
      </c>
      <c r="B389" s="6" t="s">
        <v>853</v>
      </c>
      <c r="C389" s="11" t="s">
        <v>854</v>
      </c>
      <c r="D389" s="6" t="s">
        <v>130</v>
      </c>
      <c r="E389" s="7">
        <v>1</v>
      </c>
      <c r="F389" s="7">
        <v>10337.61</v>
      </c>
      <c r="G389" s="7">
        <v>10337.61</v>
      </c>
      <c r="H389" s="10">
        <v>0</v>
      </c>
      <c r="I389" s="10">
        <v>0</v>
      </c>
      <c r="J389" s="7">
        <f>H389+I389</f>
        <v>0.0</v>
      </c>
      <c r="K389" s="7">
        <f>I389*F389</f>
        <v>0.0</v>
      </c>
      <c r="L389" s="7">
        <f>J389*F389</f>
        <v>0.0</v>
      </c>
    </row>
    <row r="390" spans="1:12">
      <c r="A390" s="6" t="s">
        <v>584</v>
      </c>
      <c r="B390" s="6" t="s">
        <v>855</v>
      </c>
      <c r="C390" s="11" t="s">
        <v>856</v>
      </c>
      <c r="D390" s="6" t="s">
        <v>130</v>
      </c>
      <c r="E390" s="7">
        <v>1</v>
      </c>
      <c r="F390" s="7">
        <v>11948.66</v>
      </c>
      <c r="G390" s="7">
        <v>11948.66</v>
      </c>
      <c r="H390" s="10">
        <v>0</v>
      </c>
      <c r="I390" s="10">
        <v>0</v>
      </c>
      <c r="J390" s="7">
        <f>H390+I390</f>
        <v>0.0</v>
      </c>
      <c r="K390" s="7">
        <f>I390*F390</f>
        <v>0.0</v>
      </c>
      <c r="L390" s="7">
        <f>J390*F390</f>
        <v>0.0</v>
      </c>
    </row>
    <row r="391" spans="1:12">
      <c r="A391" s="6" t="s">
        <v>584</v>
      </c>
      <c r="B391" s="6" t="s">
        <v>857</v>
      </c>
      <c r="C391" s="11" t="s">
        <v>858</v>
      </c>
      <c r="D391" s="6" t="s">
        <v>130</v>
      </c>
      <c r="E391" s="7">
        <v>1</v>
      </c>
      <c r="F391" s="7">
        <v>12619.93</v>
      </c>
      <c r="G391" s="7">
        <v>12619.93</v>
      </c>
      <c r="H391" s="10">
        <v>0</v>
      </c>
      <c r="I391" s="10">
        <v>0</v>
      </c>
      <c r="J391" s="7">
        <f>H391+I391</f>
        <v>0.0</v>
      </c>
      <c r="K391" s="7">
        <f>I391*F391</f>
        <v>0.0</v>
      </c>
      <c r="L391" s="7">
        <f>J391*F391</f>
        <v>0.0</v>
      </c>
    </row>
    <row r="392" spans="1:12">
      <c r="A392" s="6" t="s">
        <v>584</v>
      </c>
      <c r="B392" s="6" t="s">
        <v>859</v>
      </c>
      <c r="C392" s="11" t="s">
        <v>860</v>
      </c>
      <c r="D392" s="6" t="s">
        <v>130</v>
      </c>
      <c r="E392" s="7">
        <v>2</v>
      </c>
      <c r="F392" s="7">
        <v>14096.73</v>
      </c>
      <c r="G392" s="7">
        <v>28193.46</v>
      </c>
      <c r="H392" s="10">
        <v>0</v>
      </c>
      <c r="I392" s="10">
        <v>0</v>
      </c>
      <c r="J392" s="7">
        <f>H392+I392</f>
        <v>0.0</v>
      </c>
      <c r="K392" s="7">
        <f>I392*F392</f>
        <v>0.0</v>
      </c>
      <c r="L392" s="7">
        <f>J392*F392</f>
        <v>0.0</v>
      </c>
    </row>
    <row r="393" spans="1:12">
      <c r="A393" s="6" t="s">
        <v>584</v>
      </c>
      <c r="B393" s="6" t="s">
        <v>861</v>
      </c>
      <c r="C393" s="11" t="s">
        <v>862</v>
      </c>
      <c r="D393" s="6" t="s">
        <v>130</v>
      </c>
      <c r="E393" s="7">
        <v>1</v>
      </c>
      <c r="F393" s="7">
        <v>22823.29</v>
      </c>
      <c r="G393" s="7">
        <v>22823.29</v>
      </c>
      <c r="H393" s="10">
        <v>0</v>
      </c>
      <c r="I393" s="10">
        <v>0</v>
      </c>
      <c r="J393" s="7">
        <f>H393+I393</f>
        <v>0.0</v>
      </c>
      <c r="K393" s="7">
        <f>I393*F393</f>
        <v>0.0</v>
      </c>
      <c r="L393" s="7">
        <f>J393*F393</f>
        <v>0.0</v>
      </c>
    </row>
    <row r="394" spans="1:12">
      <c r="A394" s="6" t="s">
        <v>584</v>
      </c>
      <c r="B394" s="6" t="s">
        <v>863</v>
      </c>
      <c r="C394" s="11" t="s">
        <v>864</v>
      </c>
      <c r="D394" s="6" t="s">
        <v>130</v>
      </c>
      <c r="E394" s="7">
        <v>1</v>
      </c>
      <c r="F394" s="7">
        <v>26179.65</v>
      </c>
      <c r="G394" s="7">
        <v>26179.65</v>
      </c>
      <c r="H394" s="10">
        <v>0</v>
      </c>
      <c r="I394" s="10">
        <v>0</v>
      </c>
      <c r="J394" s="7">
        <f>H394+I394</f>
        <v>0.0</v>
      </c>
      <c r="K394" s="7">
        <f>I394*F394</f>
        <v>0.0</v>
      </c>
      <c r="L394" s="7">
        <f>J394*F394</f>
        <v>0.0</v>
      </c>
    </row>
    <row r="395" spans="1:12">
      <c r="A395" s="6" t="s">
        <v>584</v>
      </c>
      <c r="B395" s="6" t="s">
        <v>865</v>
      </c>
      <c r="C395" s="11" t="s">
        <v>866</v>
      </c>
      <c r="D395" s="6" t="s">
        <v>130</v>
      </c>
      <c r="E395" s="7">
        <v>18</v>
      </c>
      <c r="F395" s="7">
        <v>4430.4</v>
      </c>
      <c r="G395" s="7">
        <v>79747.2</v>
      </c>
      <c r="H395" s="10">
        <v>0</v>
      </c>
      <c r="I395" s="10">
        <v>0</v>
      </c>
      <c r="J395" s="7">
        <f>H395+I395</f>
        <v>0.0</v>
      </c>
      <c r="K395" s="7">
        <f>I395*F395</f>
        <v>0.0</v>
      </c>
      <c r="L395" s="7">
        <f>J395*F395</f>
        <v>0.0</v>
      </c>
    </row>
    <row r="396" spans="1:12">
      <c r="A396" s="6" t="s">
        <v>584</v>
      </c>
      <c r="B396" s="6" t="s">
        <v>867</v>
      </c>
      <c r="C396" s="11" t="s">
        <v>868</v>
      </c>
      <c r="D396" s="6" t="s">
        <v>130</v>
      </c>
      <c r="E396" s="7">
        <v>3</v>
      </c>
      <c r="F396" s="7">
        <v>4967.42</v>
      </c>
      <c r="G396" s="7">
        <v>14902.26</v>
      </c>
      <c r="H396" s="10">
        <v>0</v>
      </c>
      <c r="I396" s="10">
        <v>0</v>
      </c>
      <c r="J396" s="7">
        <f>H396+I396</f>
        <v>0.0</v>
      </c>
      <c r="K396" s="7">
        <f>I396*F396</f>
        <v>0.0</v>
      </c>
      <c r="L396" s="7">
        <f>J396*F396</f>
        <v>0.0</v>
      </c>
    </row>
    <row r="397" spans="1:12">
      <c r="A397" s="6" t="s">
        <v>584</v>
      </c>
      <c r="B397" s="6" t="s">
        <v>869</v>
      </c>
      <c r="C397" s="11" t="s">
        <v>870</v>
      </c>
      <c r="D397" s="6" t="s">
        <v>130</v>
      </c>
      <c r="E397" s="7">
        <v>1</v>
      </c>
      <c r="F397" s="7">
        <v>3893.38</v>
      </c>
      <c r="G397" s="7">
        <v>3893.38</v>
      </c>
      <c r="H397" s="10">
        <v>0</v>
      </c>
      <c r="I397" s="10">
        <v>0</v>
      </c>
      <c r="J397" s="7">
        <f>H397+I397</f>
        <v>0.0</v>
      </c>
      <c r="K397" s="7">
        <f>I397*F397</f>
        <v>0.0</v>
      </c>
      <c r="L397" s="7">
        <f>J397*F397</f>
        <v>0.0</v>
      </c>
    </row>
    <row r="398" spans="1:12">
      <c r="A398" s="6" t="s">
        <v>584</v>
      </c>
      <c r="B398" s="6" t="s">
        <v>871</v>
      </c>
      <c r="C398" s="11" t="s">
        <v>872</v>
      </c>
      <c r="D398" s="6" t="s">
        <v>130</v>
      </c>
      <c r="E398" s="7">
        <v>1</v>
      </c>
      <c r="F398" s="7">
        <v>4430.4</v>
      </c>
      <c r="G398" s="7">
        <v>4430.4</v>
      </c>
      <c r="H398" s="10">
        <v>0</v>
      </c>
      <c r="I398" s="10">
        <v>0</v>
      </c>
      <c r="J398" s="7">
        <f>H398+I398</f>
        <v>0.0</v>
      </c>
      <c r="K398" s="7">
        <f>I398*F398</f>
        <v>0.0</v>
      </c>
      <c r="L398" s="7">
        <f>J398*F398</f>
        <v>0.0</v>
      </c>
    </row>
    <row r="399" spans="1:12">
      <c r="A399" s="6" t="s">
        <v>584</v>
      </c>
      <c r="B399" s="6" t="s">
        <v>873</v>
      </c>
      <c r="C399" s="11" t="s">
        <v>874</v>
      </c>
      <c r="D399" s="6" t="s">
        <v>130</v>
      </c>
      <c r="E399" s="7">
        <v>1</v>
      </c>
      <c r="F399" s="7">
        <v>4967.42</v>
      </c>
      <c r="G399" s="7">
        <v>4967.42</v>
      </c>
      <c r="H399" s="10">
        <v>0</v>
      </c>
      <c r="I399" s="10">
        <v>0</v>
      </c>
      <c r="J399" s="7">
        <f>H399+I399</f>
        <v>0.0</v>
      </c>
      <c r="K399" s="7">
        <f>I399*F399</f>
        <v>0.0</v>
      </c>
      <c r="L399" s="7">
        <f>J399*F399</f>
        <v>0.0</v>
      </c>
    </row>
    <row r="400" spans="1:12">
      <c r="A400" s="6" t="s">
        <v>584</v>
      </c>
      <c r="B400" s="6" t="s">
        <v>875</v>
      </c>
      <c r="C400" s="11" t="s">
        <v>876</v>
      </c>
      <c r="D400" s="6" t="s">
        <v>130</v>
      </c>
      <c r="E400" s="7">
        <v>1</v>
      </c>
      <c r="F400" s="7">
        <v>5235.93</v>
      </c>
      <c r="G400" s="7">
        <v>5235.93</v>
      </c>
      <c r="H400" s="10">
        <v>0</v>
      </c>
      <c r="I400" s="10">
        <v>0</v>
      </c>
      <c r="J400" s="7">
        <f>H400+I400</f>
        <v>0.0</v>
      </c>
      <c r="K400" s="7">
        <f>I400*F400</f>
        <v>0.0</v>
      </c>
      <c r="L400" s="7">
        <f>J400*F400</f>
        <v>0.0</v>
      </c>
    </row>
    <row r="401" spans="1:12">
      <c r="A401" s="6" t="s">
        <v>584</v>
      </c>
      <c r="B401" s="6" t="s">
        <v>877</v>
      </c>
      <c r="C401" s="11" t="s">
        <v>878</v>
      </c>
      <c r="D401" s="6" t="s">
        <v>130</v>
      </c>
      <c r="E401" s="7">
        <v>1</v>
      </c>
      <c r="F401" s="7">
        <v>5772.95</v>
      </c>
      <c r="G401" s="7">
        <v>5772.95</v>
      </c>
      <c r="H401" s="10">
        <v>0</v>
      </c>
      <c r="I401" s="10">
        <v>0</v>
      </c>
      <c r="J401" s="7">
        <f>H401+I401</f>
        <v>0.0</v>
      </c>
      <c r="K401" s="7">
        <f>I401*F401</f>
        <v>0.0</v>
      </c>
      <c r="L401" s="7">
        <f>J401*F401</f>
        <v>0.0</v>
      </c>
    </row>
    <row r="402" spans="1:12">
      <c r="A402" s="6" t="s">
        <v>584</v>
      </c>
      <c r="B402" s="6" t="s">
        <v>879</v>
      </c>
      <c r="C402" s="11" t="s">
        <v>880</v>
      </c>
      <c r="D402" s="6" t="s">
        <v>130</v>
      </c>
      <c r="E402" s="7">
        <v>1</v>
      </c>
      <c r="F402" s="7">
        <v>6578.48</v>
      </c>
      <c r="G402" s="7">
        <v>6578.48</v>
      </c>
      <c r="H402" s="10">
        <v>0</v>
      </c>
      <c r="I402" s="10">
        <v>0</v>
      </c>
      <c r="J402" s="7">
        <f>H402+I402</f>
        <v>0.0</v>
      </c>
      <c r="K402" s="7">
        <f>I402*F402</f>
        <v>0.0</v>
      </c>
      <c r="L402" s="7">
        <f>J402*F402</f>
        <v>0.0</v>
      </c>
    </row>
    <row r="403" spans="1:12">
      <c r="A403" s="6" t="s">
        <v>584</v>
      </c>
      <c r="B403" s="6" t="s">
        <v>881</v>
      </c>
      <c r="C403" s="11" t="s">
        <v>882</v>
      </c>
      <c r="D403" s="6" t="s">
        <v>130</v>
      </c>
      <c r="E403" s="7">
        <v>1</v>
      </c>
      <c r="F403" s="7">
        <v>7384</v>
      </c>
      <c r="G403" s="7">
        <v>7384</v>
      </c>
      <c r="H403" s="10">
        <v>0</v>
      </c>
      <c r="I403" s="10">
        <v>0</v>
      </c>
      <c r="J403" s="7">
        <f>H403+I403</f>
        <v>0.0</v>
      </c>
      <c r="K403" s="7">
        <f>I403*F403</f>
        <v>0.0</v>
      </c>
      <c r="L403" s="7">
        <f>J403*F403</f>
        <v>0.0</v>
      </c>
    </row>
    <row r="404" spans="1:12">
      <c r="A404" s="6" t="s">
        <v>584</v>
      </c>
      <c r="B404" s="6" t="s">
        <v>883</v>
      </c>
      <c r="C404" s="11" t="s">
        <v>884</v>
      </c>
      <c r="D404" s="6" t="s">
        <v>130</v>
      </c>
      <c r="E404" s="7">
        <v>1</v>
      </c>
      <c r="F404" s="7">
        <v>9934.84</v>
      </c>
      <c r="G404" s="7">
        <v>9934.84</v>
      </c>
      <c r="H404" s="10">
        <v>0</v>
      </c>
      <c r="I404" s="10">
        <v>0</v>
      </c>
      <c r="J404" s="7">
        <f>H404+I404</f>
        <v>0.0</v>
      </c>
      <c r="K404" s="7">
        <f>I404*F404</f>
        <v>0.0</v>
      </c>
      <c r="L404" s="7">
        <f>J404*F404</f>
        <v>0.0</v>
      </c>
    </row>
    <row r="405" spans="1:12">
      <c r="A405" s="6" t="s">
        <v>584</v>
      </c>
      <c r="B405" s="6" t="s">
        <v>885</v>
      </c>
      <c r="C405" s="11" t="s">
        <v>886</v>
      </c>
      <c r="D405" s="6" t="s">
        <v>130</v>
      </c>
      <c r="E405" s="7">
        <v>1</v>
      </c>
      <c r="F405" s="7">
        <v>8726.549999999999</v>
      </c>
      <c r="G405" s="7">
        <v>8726.549999999999</v>
      </c>
      <c r="H405" s="10">
        <v>0</v>
      </c>
      <c r="I405" s="10">
        <v>0</v>
      </c>
      <c r="J405" s="7">
        <f>H405+I405</f>
        <v>0.0</v>
      </c>
      <c r="K405" s="7">
        <f>I405*F405</f>
        <v>0.0</v>
      </c>
      <c r="L405" s="7">
        <f>J405*F405</f>
        <v>0.0</v>
      </c>
    </row>
    <row r="406" spans="1:12">
      <c r="A406" s="6" t="s">
        <v>584</v>
      </c>
      <c r="B406" s="6" t="s">
        <v>887</v>
      </c>
      <c r="C406" s="11" t="s">
        <v>888</v>
      </c>
      <c r="D406" s="6" t="s">
        <v>130</v>
      </c>
      <c r="E406" s="7">
        <v>1</v>
      </c>
      <c r="F406" s="7">
        <v>8726.549999999999</v>
      </c>
      <c r="G406" s="7">
        <v>8726.549999999999</v>
      </c>
      <c r="H406" s="10">
        <v>0</v>
      </c>
      <c r="I406" s="10">
        <v>0</v>
      </c>
      <c r="J406" s="7">
        <f>H406+I406</f>
        <v>0.0</v>
      </c>
      <c r="K406" s="7">
        <f>I406*F406</f>
        <v>0.0</v>
      </c>
      <c r="L406" s="7">
        <f>J406*F406</f>
        <v>0.0</v>
      </c>
    </row>
    <row r="407" spans="1:12">
      <c r="A407" s="6" t="s">
        <v>584</v>
      </c>
      <c r="B407" s="6" t="s">
        <v>889</v>
      </c>
      <c r="C407" s="11" t="s">
        <v>890</v>
      </c>
      <c r="D407" s="6" t="s">
        <v>130</v>
      </c>
      <c r="E407" s="7">
        <v>1</v>
      </c>
      <c r="F407" s="7">
        <v>14096.73</v>
      </c>
      <c r="G407" s="7">
        <v>14096.73</v>
      </c>
      <c r="H407" s="10">
        <v>0</v>
      </c>
      <c r="I407" s="10">
        <v>0</v>
      </c>
      <c r="J407" s="7">
        <f>H407+I407</f>
        <v>0.0</v>
      </c>
      <c r="K407" s="7">
        <f>I407*F407</f>
        <v>0.0</v>
      </c>
      <c r="L407" s="7">
        <f>J407*F407</f>
        <v>0.0</v>
      </c>
    </row>
    <row r="408" spans="1:12">
      <c r="A408" s="6" t="s">
        <v>584</v>
      </c>
      <c r="B408" s="6" t="s">
        <v>891</v>
      </c>
      <c r="C408" s="11" t="s">
        <v>892</v>
      </c>
      <c r="D408" s="6" t="s">
        <v>130</v>
      </c>
      <c r="E408" s="7">
        <v>1</v>
      </c>
      <c r="F408" s="7">
        <v>11814.41</v>
      </c>
      <c r="G408" s="7">
        <v>11814.41</v>
      </c>
      <c r="H408" s="10">
        <v>0</v>
      </c>
      <c r="I408" s="10">
        <v>0</v>
      </c>
      <c r="J408" s="7">
        <f>H408+I408</f>
        <v>0.0</v>
      </c>
      <c r="K408" s="7">
        <f>I408*F408</f>
        <v>0.0</v>
      </c>
      <c r="L408" s="7">
        <f>J408*F408</f>
        <v>0.0</v>
      </c>
    </row>
    <row r="409" spans="1:12">
      <c r="A409" s="6" t="s">
        <v>584</v>
      </c>
      <c r="B409" s="6" t="s">
        <v>893</v>
      </c>
      <c r="C409" s="11" t="s">
        <v>894</v>
      </c>
      <c r="D409" s="6" t="s">
        <v>130</v>
      </c>
      <c r="E409" s="7">
        <v>1</v>
      </c>
      <c r="F409" s="7">
        <v>9800.59</v>
      </c>
      <c r="G409" s="7">
        <v>9800.59</v>
      </c>
      <c r="H409" s="10">
        <v>0</v>
      </c>
      <c r="I409" s="10">
        <v>0</v>
      </c>
      <c r="J409" s="7">
        <f>H409+I409</f>
        <v>0.0</v>
      </c>
      <c r="K409" s="7">
        <f>I409*F409</f>
        <v>0.0</v>
      </c>
      <c r="L409" s="7">
        <f>J409*F409</f>
        <v>0.0</v>
      </c>
    </row>
    <row r="410" spans="1:12">
      <c r="A410" s="6" t="s">
        <v>584</v>
      </c>
      <c r="B410" s="6" t="s">
        <v>895</v>
      </c>
      <c r="C410" s="11" t="s">
        <v>896</v>
      </c>
      <c r="D410" s="6" t="s">
        <v>130</v>
      </c>
      <c r="E410" s="7">
        <v>1</v>
      </c>
      <c r="F410" s="7">
        <v>74897.60000000001</v>
      </c>
      <c r="G410" s="7">
        <v>74897.60000000001</v>
      </c>
      <c r="H410" s="10">
        <v>0</v>
      </c>
      <c r="I410" s="10">
        <v>0</v>
      </c>
      <c r="J410" s="7">
        <f>H410+I410</f>
        <v>0.0</v>
      </c>
      <c r="K410" s="7">
        <f>I410*F410</f>
        <v>0.0</v>
      </c>
      <c r="L410" s="7">
        <f>J410*F410</f>
        <v>0.0</v>
      </c>
    </row>
    <row r="411" spans="1:12">
      <c r="A411" s="6" t="s">
        <v>584</v>
      </c>
      <c r="B411" s="6" t="s">
        <v>897</v>
      </c>
      <c r="C411" s="11" t="s">
        <v>898</v>
      </c>
      <c r="D411" s="6" t="s">
        <v>130</v>
      </c>
      <c r="E411" s="7">
        <v>1</v>
      </c>
      <c r="F411" s="7">
        <v>50724.99</v>
      </c>
      <c r="G411" s="7">
        <v>50724.99</v>
      </c>
      <c r="H411" s="10">
        <v>0</v>
      </c>
      <c r="I411" s="10">
        <v>0</v>
      </c>
      <c r="J411" s="7">
        <f>H411+I411</f>
        <v>0.0</v>
      </c>
      <c r="K411" s="7">
        <f>I411*F411</f>
        <v>0.0</v>
      </c>
      <c r="L411" s="7">
        <f>J411*F411</f>
        <v>0.0</v>
      </c>
    </row>
    <row r="412" spans="1:12">
      <c r="A412" s="6" t="s">
        <v>584</v>
      </c>
      <c r="B412" s="6" t="s">
        <v>899</v>
      </c>
      <c r="C412" s="11" t="s">
        <v>900</v>
      </c>
      <c r="D412" s="6" t="s">
        <v>130</v>
      </c>
      <c r="E412" s="7">
        <v>1</v>
      </c>
      <c r="F412" s="7">
        <v>1303768.76</v>
      </c>
      <c r="G412" s="7">
        <v>1303768.76</v>
      </c>
      <c r="H412" s="10">
        <v>0</v>
      </c>
      <c r="I412" s="10">
        <v>0</v>
      </c>
      <c r="J412" s="7">
        <f>H412+I412</f>
        <v>0.0</v>
      </c>
      <c r="K412" s="7">
        <f>I412*F412</f>
        <v>0.0</v>
      </c>
      <c r="L412" s="7">
        <f>J412*F412</f>
        <v>0.0</v>
      </c>
    </row>
    <row r="413" spans="1:12">
      <c r="A413" s="6" t="s">
        <v>584</v>
      </c>
      <c r="B413" s="6" t="s">
        <v>901</v>
      </c>
      <c r="C413" s="11" t="s">
        <v>902</v>
      </c>
      <c r="D413" s="6" t="s">
        <v>130</v>
      </c>
      <c r="E413" s="7">
        <v>1</v>
      </c>
      <c r="F413" s="7">
        <v>2467162.29</v>
      </c>
      <c r="G413" s="7">
        <v>2467162.29</v>
      </c>
      <c r="H413" s="10">
        <v>0</v>
      </c>
      <c r="I413" s="10">
        <v>0</v>
      </c>
      <c r="J413" s="7">
        <f>H413+I413</f>
        <v>0.0</v>
      </c>
      <c r="K413" s="7">
        <f>I413*F413</f>
        <v>0.0</v>
      </c>
      <c r="L413" s="7">
        <f>J413*F413</f>
        <v>0.0</v>
      </c>
    </row>
    <row r="414" spans="1:12">
      <c r="A414" s="6" t="s">
        <v>584</v>
      </c>
      <c r="B414" s="6" t="s">
        <v>903</v>
      </c>
      <c r="C414" s="11" t="s">
        <v>904</v>
      </c>
      <c r="D414" s="6" t="s">
        <v>130</v>
      </c>
      <c r="E414" s="7">
        <v>1</v>
      </c>
      <c r="F414" s="7">
        <v>87169.23</v>
      </c>
      <c r="G414" s="7">
        <v>87169.23</v>
      </c>
      <c r="H414" s="10">
        <v>0</v>
      </c>
      <c r="I414" s="10">
        <v>0</v>
      </c>
      <c r="J414" s="7">
        <f>H414+I414</f>
        <v>0.0</v>
      </c>
      <c r="K414" s="7">
        <f>I414*F414</f>
        <v>0.0</v>
      </c>
      <c r="L414" s="7">
        <f>J414*F414</f>
        <v>0.0</v>
      </c>
    </row>
    <row r="415" spans="1:12">
      <c r="A415" s="6" t="s">
        <v>584</v>
      </c>
      <c r="B415" s="6" t="s">
        <v>905</v>
      </c>
      <c r="C415" s="11" t="s">
        <v>906</v>
      </c>
      <c r="D415" s="6" t="s">
        <v>130</v>
      </c>
      <c r="E415" s="7">
        <v>1</v>
      </c>
      <c r="F415" s="7">
        <v>806377.05</v>
      </c>
      <c r="G415" s="7">
        <v>806377.05</v>
      </c>
      <c r="H415" s="10">
        <v>0</v>
      </c>
      <c r="I415" s="10">
        <v>0</v>
      </c>
      <c r="J415" s="7">
        <f>H415+I415</f>
        <v>0.0</v>
      </c>
      <c r="K415" s="7">
        <f>I415*F415</f>
        <v>0.0</v>
      </c>
      <c r="L415" s="7">
        <f>J415*F415</f>
        <v>0.0</v>
      </c>
    </row>
    <row r="416" spans="1:12">
      <c r="A416" s="6" t="s">
        <v>584</v>
      </c>
      <c r="B416" s="6" t="s">
        <v>907</v>
      </c>
      <c r="C416" s="11" t="s">
        <v>908</v>
      </c>
      <c r="D416" s="6" t="s">
        <v>130</v>
      </c>
      <c r="E416" s="7">
        <v>1</v>
      </c>
      <c r="F416" s="7">
        <v>1128927.31</v>
      </c>
      <c r="G416" s="7">
        <v>1128927.31</v>
      </c>
      <c r="H416" s="10">
        <v>0</v>
      </c>
      <c r="I416" s="10">
        <v>0</v>
      </c>
      <c r="J416" s="7">
        <f>H416+I416</f>
        <v>0.0</v>
      </c>
      <c r="K416" s="7">
        <f>I416*F416</f>
        <v>0.0</v>
      </c>
      <c r="L416" s="7">
        <f>J416*F416</f>
        <v>0.0</v>
      </c>
    </row>
    <row r="417" spans="1:12">
      <c r="A417" s="6" t="s">
        <v>584</v>
      </c>
      <c r="B417" s="6" t="s">
        <v>909</v>
      </c>
      <c r="C417" s="11" t="s">
        <v>910</v>
      </c>
      <c r="D417" s="6" t="s">
        <v>158</v>
      </c>
      <c r="E417" s="7">
        <v>180</v>
      </c>
      <c r="F417" s="7">
        <v>310.55</v>
      </c>
      <c r="G417" s="7">
        <v>55899</v>
      </c>
      <c r="H417" s="10">
        <v>0</v>
      </c>
      <c r="I417" s="10">
        <v>0</v>
      </c>
      <c r="J417" s="7">
        <f>H417+I417</f>
        <v>0.0</v>
      </c>
      <c r="K417" s="7">
        <f>I417*F417</f>
        <v>0.0</v>
      </c>
      <c r="L417" s="7">
        <f>J417*F417</f>
        <v>0.0</v>
      </c>
    </row>
    <row r="418" spans="1:12">
      <c r="A418" s="6" t="s">
        <v>584</v>
      </c>
      <c r="B418" s="6" t="s">
        <v>911</v>
      </c>
      <c r="C418" s="11" t="s">
        <v>912</v>
      </c>
      <c r="D418" s="6" t="s">
        <v>158</v>
      </c>
      <c r="E418" s="7">
        <v>140</v>
      </c>
      <c r="F418" s="7">
        <v>310.55</v>
      </c>
      <c r="G418" s="7">
        <v>43477</v>
      </c>
      <c r="H418" s="10">
        <v>0</v>
      </c>
      <c r="I418" s="10">
        <v>0</v>
      </c>
      <c r="J418" s="7">
        <f>H418+I418</f>
        <v>0.0</v>
      </c>
      <c r="K418" s="7">
        <f>I418*F418</f>
        <v>0.0</v>
      </c>
      <c r="L418" s="7">
        <f>J418*F418</f>
        <v>0.0</v>
      </c>
    </row>
    <row r="419" spans="1:12">
      <c r="A419" s="6" t="s">
        <v>584</v>
      </c>
      <c r="B419" s="6" t="s">
        <v>913</v>
      </c>
      <c r="C419" s="11" t="s">
        <v>914</v>
      </c>
      <c r="D419" s="6" t="s">
        <v>158</v>
      </c>
      <c r="E419" s="7">
        <v>339</v>
      </c>
      <c r="F419" s="7">
        <v>3815.66</v>
      </c>
      <c r="G419" s="7">
        <v>1293508.74</v>
      </c>
      <c r="H419" s="10">
        <v>0</v>
      </c>
      <c r="I419" s="10">
        <v>0</v>
      </c>
      <c r="J419" s="7">
        <f>H419+I419</f>
        <v>0.0</v>
      </c>
      <c r="K419" s="7">
        <f>I419*F419</f>
        <v>0.0</v>
      </c>
      <c r="L419" s="7">
        <f>J419*F419</f>
        <v>0.0</v>
      </c>
    </row>
    <row r="420" spans="1:12">
      <c r="A420" s="6" t="s">
        <v>584</v>
      </c>
      <c r="B420" s="6" t="s">
        <v>915</v>
      </c>
      <c r="C420" s="11" t="s">
        <v>916</v>
      </c>
      <c r="D420" s="6" t="s">
        <v>130</v>
      </c>
      <c r="E420" s="7">
        <v>4</v>
      </c>
      <c r="F420" s="7">
        <v>10175.09</v>
      </c>
      <c r="G420" s="7">
        <v>40700.36</v>
      </c>
      <c r="H420" s="10">
        <v>0</v>
      </c>
      <c r="I420" s="10">
        <v>0</v>
      </c>
      <c r="J420" s="7">
        <f>H420+I420</f>
        <v>0.0</v>
      </c>
      <c r="K420" s="7">
        <f>I420*F420</f>
        <v>0.0</v>
      </c>
      <c r="L420" s="7">
        <f>J420*F420</f>
        <v>0.0</v>
      </c>
    </row>
  </sheetData>
  <autoFilter ref="A1:L42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cols>
    <col min="1" max="1" width="13.7109375" customWidth="1"/>
    <col min="2" max="4" width="20.7109375" customWidth="1"/>
  </cols>
  <sheetData>
    <row r="1" spans="1:6" ht="32" customHeight="1">
      <c r="A1" s="5" t="s">
        <v>917</v>
      </c>
      <c r="B1" s="5" t="s">
        <v>918</v>
      </c>
      <c r="C1" s="5" t="s">
        <v>919</v>
      </c>
      <c r="D1" s="5" t="s">
        <v>920</v>
      </c>
      <c r="F1" s="4" t="s">
        <v>921</v>
      </c>
    </row>
    <row r="2" spans="1:6">
      <c r="A2" s="12">
        <v>45931</v>
      </c>
      <c r="B2" s="10"/>
      <c r="C2" s="7">
        <f>SUM($B$2:B2)</f>
        <v>0</v>
      </c>
      <c r="D2" s="13">
        <f>IF(C2=0,"",C2/1557000000.1)</f>
        <v>0</v>
      </c>
      <c r="F2" s="4" t="s">
        <v>922</v>
      </c>
    </row>
    <row r="3" spans="1:6">
      <c r="A3" s="12">
        <v>45962</v>
      </c>
      <c r="B3" s="10"/>
      <c r="C3" s="7">
        <f>SUM($B$2:B3)</f>
        <v>0</v>
      </c>
      <c r="D3" s="13">
        <f>IF(C3=0,"",C3/1557000000.1)</f>
        <v>0</v>
      </c>
      <c r="F3" s="4" t="s">
        <v>923</v>
      </c>
    </row>
    <row r="4" spans="1:6">
      <c r="A4" s="12">
        <v>45992</v>
      </c>
      <c r="B4" s="10"/>
      <c r="C4" s="7">
        <f>SUM($B$2:B4)</f>
        <v>0</v>
      </c>
      <c r="D4" s="13">
        <f>IF(C4=0,"",C4/1557000000.1)</f>
        <v>0</v>
      </c>
    </row>
    <row r="5" spans="1:6">
      <c r="A5" s="12">
        <v>46023</v>
      </c>
      <c r="B5" s="10"/>
      <c r="C5" s="7">
        <f>SUM($B$2:B5)</f>
        <v>0</v>
      </c>
      <c r="D5" s="13">
        <f>IF(C5=0,"",C5/1557000000.1)</f>
        <v>0</v>
      </c>
    </row>
    <row r="6" spans="1:6">
      <c r="A6" s="12">
        <v>46054</v>
      </c>
      <c r="B6" s="10"/>
      <c r="C6" s="7">
        <f>SUM($B$2:B6)</f>
        <v>0</v>
      </c>
      <c r="D6" s="13">
        <f>IF(C6=0,"",C6/1557000000.1)</f>
        <v>0</v>
      </c>
    </row>
    <row r="7" spans="1:6">
      <c r="A7" s="12">
        <v>46082</v>
      </c>
      <c r="B7" s="10"/>
      <c r="C7" s="7">
        <f>SUM($B$2:B7)</f>
        <v>0</v>
      </c>
      <c r="D7" s="13">
        <f>IF(C7=0,"",C7/1557000000.1)</f>
        <v>0</v>
      </c>
    </row>
    <row r="8" spans="1:6">
      <c r="A8" s="12">
        <v>46113</v>
      </c>
      <c r="B8" s="10"/>
      <c r="C8" s="7">
        <f>SUM($B$2:B8)</f>
        <v>0</v>
      </c>
      <c r="D8" s="13">
        <f>IF(C8=0,"",C8/1557000000.1)</f>
        <v>0</v>
      </c>
    </row>
    <row r="9" spans="1:6">
      <c r="A9" s="12">
        <v>46143</v>
      </c>
      <c r="B9" s="10"/>
      <c r="C9" s="7">
        <f>SUM($B$2:B9)</f>
        <v>0</v>
      </c>
      <c r="D9" s="13">
        <f>IF(C9=0,"",C9/1557000000.1)</f>
        <v>0</v>
      </c>
    </row>
    <row r="10" spans="1:6">
      <c r="A10" s="12">
        <v>46174</v>
      </c>
      <c r="B10" s="10"/>
      <c r="C10" s="7">
        <f>SUM($B$2:B10)</f>
        <v>0</v>
      </c>
      <c r="D10" s="13">
        <f>IF(C10=0,"",C10/1557000000.1)</f>
        <v>0</v>
      </c>
    </row>
    <row r="11" spans="1:6">
      <c r="A11" s="12">
        <v>46204</v>
      </c>
      <c r="B11" s="10"/>
      <c r="C11" s="7">
        <f>SUM($B$2:B11)</f>
        <v>0</v>
      </c>
      <c r="D11" s="13">
        <f>IF(C11=0,"",C11/1557000000.1)</f>
        <v>0</v>
      </c>
    </row>
    <row r="12" spans="1:6">
      <c r="A12" s="12">
        <v>46235</v>
      </c>
      <c r="B12" s="10"/>
      <c r="C12" s="7">
        <f>SUM($B$2:B12)</f>
        <v>0</v>
      </c>
      <c r="D12" s="13">
        <f>IF(C12=0,"",C12/1557000000.1)</f>
        <v>0</v>
      </c>
    </row>
    <row r="13" spans="1:6">
      <c r="A13" s="12">
        <v>46266</v>
      </c>
      <c r="B13" s="10"/>
      <c r="C13" s="7">
        <f>SUM($B$2:B13)</f>
        <v>0</v>
      </c>
      <c r="D13" s="13">
        <f>IF(C13=0,"",C13/1557000000.1)</f>
        <v>0</v>
      </c>
    </row>
    <row r="14" spans="1:6">
      <c r="A14" s="12">
        <v>46296</v>
      </c>
      <c r="B14" s="10"/>
      <c r="C14" s="7">
        <f>SUM($B$2:B14)</f>
        <v>0</v>
      </c>
      <c r="D14" s="13">
        <f>IF(C14=0,"",C14/1557000000.1)</f>
        <v>0</v>
      </c>
    </row>
    <row r="15" spans="1:6">
      <c r="A15" s="12">
        <v>46327</v>
      </c>
      <c r="B15" s="10"/>
      <c r="C15" s="7">
        <f>SUM($B$2:B15)</f>
        <v>0</v>
      </c>
      <c r="D15" s="13">
        <f>IF(C15=0,"",C15/1557000000.1)</f>
        <v>0</v>
      </c>
    </row>
    <row r="16" spans="1:6">
      <c r="A16" s="12">
        <v>46357</v>
      </c>
      <c r="B16" s="10"/>
      <c r="C16" s="7">
        <f>SUM($B$2:B16)</f>
        <v>0</v>
      </c>
      <c r="D16" s="13">
        <f>IF(C16=0,"",C16/1557000000.1)</f>
        <v>0</v>
      </c>
    </row>
    <row r="17" spans="1:4">
      <c r="A17" s="12">
        <v>46388</v>
      </c>
      <c r="B17" s="10"/>
      <c r="C17" s="7">
        <f>SUM($B$2:B17)</f>
        <v>0</v>
      </c>
      <c r="D17" s="13">
        <f>IF(C17=0,"",C17/1557000000.1)</f>
        <v>0</v>
      </c>
    </row>
    <row r="18" spans="1:4">
      <c r="A18" s="12">
        <v>46419</v>
      </c>
      <c r="B18" s="10"/>
      <c r="C18" s="7">
        <f>SUM($B$2:B18)</f>
        <v>0</v>
      </c>
      <c r="D18" s="13">
        <f>IF(C18=0,"",C18/1557000000.1)</f>
        <v>0</v>
      </c>
    </row>
    <row r="19" spans="1:4">
      <c r="A19" s="12">
        <v>46447</v>
      </c>
      <c r="B19" s="10"/>
      <c r="C19" s="7">
        <f>SUM($B$2:B19)</f>
        <v>0</v>
      </c>
      <c r="D19" s="13">
        <f>IF(C19=0,"",C19/1557000000.1)</f>
        <v>0</v>
      </c>
    </row>
    <row r="20" spans="1:4">
      <c r="A20" s="12">
        <v>46478</v>
      </c>
      <c r="B20" s="10"/>
      <c r="C20" s="7">
        <f>SUM($B$2:B20)</f>
        <v>0</v>
      </c>
      <c r="D20" s="13">
        <f>IF(C20=0,"",C20/1557000000.1)</f>
        <v>0</v>
      </c>
    </row>
    <row r="21" spans="1:4">
      <c r="A21" s="12">
        <v>46508</v>
      </c>
      <c r="B21" s="10"/>
      <c r="C21" s="7">
        <f>SUM($B$2:B21)</f>
        <v>0</v>
      </c>
      <c r="D21" s="13">
        <f>IF(C21=0,"",C21/1557000000.1)</f>
        <v>0</v>
      </c>
    </row>
    <row r="22" spans="1:4">
      <c r="A22" s="12">
        <v>46539</v>
      </c>
      <c r="B22" s="10"/>
      <c r="C22" s="7">
        <f>SUM($B$2:B22)</f>
        <v>0</v>
      </c>
      <c r="D22" s="13">
        <f>IF(C22=0,"",C22/1557000000.1)</f>
        <v>0</v>
      </c>
    </row>
    <row r="23" spans="1:4">
      <c r="A23" s="12">
        <v>46569</v>
      </c>
      <c r="B23" s="10"/>
      <c r="C23" s="7">
        <f>SUM($B$2:B23)</f>
        <v>0</v>
      </c>
      <c r="D23" s="13">
        <f>IF(C23=0,"",C23/1557000000.1)</f>
        <v>0</v>
      </c>
    </row>
    <row r="24" spans="1:4">
      <c r="A24" s="12">
        <v>46600</v>
      </c>
      <c r="B24" s="10"/>
      <c r="C24" s="7">
        <f>SUM($B$2:B24)</f>
        <v>0</v>
      </c>
      <c r="D24" s="13">
        <f>IF(C24=0,"",C24/1557000000.1)</f>
        <v>0</v>
      </c>
    </row>
    <row r="25" spans="1:4">
      <c r="A25" s="12">
        <v>46631</v>
      </c>
      <c r="B25" s="10"/>
      <c r="C25" s="7">
        <f>SUM($B$2:B25)</f>
        <v>0</v>
      </c>
      <c r="D25" s="13">
        <f>IF(C25=0,"",C25/1557000000.1)</f>
        <v>0</v>
      </c>
    </row>
    <row r="26" spans="1:4">
      <c r="A26" s="12">
        <v>46661</v>
      </c>
      <c r="B26" s="10"/>
      <c r="C26" s="7">
        <f>SUM($B$2:B26)</f>
        <v>0</v>
      </c>
      <c r="D26" s="13">
        <f>IF(C26=0,"",C26/1557000000.1)</f>
        <v>0</v>
      </c>
    </row>
    <row r="27" spans="1:4">
      <c r="A27" s="12">
        <v>46692</v>
      </c>
      <c r="B27" s="10"/>
      <c r="C27" s="7">
        <f>SUM($B$2:B27)</f>
        <v>0</v>
      </c>
      <c r="D27" s="13">
        <f>IF(C27=0,"",C27/1557000000.1)</f>
        <v>0</v>
      </c>
    </row>
    <row r="28" spans="1:4">
      <c r="A28" s="12">
        <v>46722</v>
      </c>
      <c r="B28" s="10"/>
      <c r="C28" s="7">
        <f>SUM($B$2:B28)</f>
        <v>0</v>
      </c>
      <c r="D28" s="13">
        <f>IF(C28=0,"",C28/1557000000.1)</f>
        <v>0</v>
      </c>
    </row>
    <row r="29" spans="1:4">
      <c r="A29" s="12">
        <v>46753</v>
      </c>
      <c r="B29" s="10"/>
      <c r="C29" s="7">
        <f>SUM($B$2:B29)</f>
        <v>0</v>
      </c>
      <c r="D29" s="13">
        <f>IF(C29=0,"",C29/1557000000.1)</f>
        <v>0</v>
      </c>
    </row>
    <row r="30" spans="1:4">
      <c r="A30" s="12">
        <v>46784</v>
      </c>
      <c r="B30" s="10"/>
      <c r="C30" s="7">
        <f>SUM($B$2:B30)</f>
        <v>0</v>
      </c>
      <c r="D30" s="13">
        <f>IF(C30=0,"",C30/1557000000.1)</f>
        <v>0</v>
      </c>
    </row>
    <row r="31" spans="1:4">
      <c r="A31" s="12">
        <v>46813</v>
      </c>
      <c r="B31" s="10"/>
      <c r="C31" s="7">
        <f>SUM($B$2:B31)</f>
        <v>0</v>
      </c>
      <c r="D31" s="13">
        <f>IF(C31=0,"",C31/1557000000.1)</f>
        <v>0</v>
      </c>
    </row>
    <row r="32" spans="1:4">
      <c r="A32" s="12">
        <v>46844</v>
      </c>
      <c r="B32" s="10"/>
      <c r="C32" s="7">
        <f>SUM($B$2:B32)</f>
        <v>0</v>
      </c>
      <c r="D32" s="13">
        <f>IF(C32=0,"",C32/1557000000.1)</f>
        <v>0</v>
      </c>
    </row>
    <row r="33" spans="1:4">
      <c r="A33" s="12">
        <v>46874</v>
      </c>
      <c r="B33" s="10"/>
      <c r="C33" s="7">
        <f>SUM($B$2:B33)</f>
        <v>0</v>
      </c>
      <c r="D33" s="13">
        <f>IF(C33=0,"",C33/1557000000.1)</f>
        <v>0</v>
      </c>
    </row>
    <row r="34" spans="1:4">
      <c r="A34" s="12">
        <v>46905</v>
      </c>
      <c r="B34" s="10"/>
      <c r="C34" s="7">
        <f>SUM($B$2:B34)</f>
        <v>0</v>
      </c>
      <c r="D34" s="13">
        <f>IF(C34=0,"",C34/1557000000.1)</f>
        <v>0</v>
      </c>
    </row>
    <row r="35" spans="1:4">
      <c r="A35" s="12">
        <v>46935</v>
      </c>
      <c r="B35" s="10"/>
      <c r="C35" s="7">
        <f>SUM($B$2:B35)</f>
        <v>0</v>
      </c>
      <c r="D35" s="13">
        <f>IF(C35=0,"",C35/1557000000.1)</f>
        <v>0</v>
      </c>
    </row>
    <row r="36" spans="1:4">
      <c r="A36" s="12">
        <v>46966</v>
      </c>
      <c r="B36" s="10"/>
      <c r="C36" s="7">
        <f>SUM($B$2:B36)</f>
        <v>0</v>
      </c>
      <c r="D36" s="13">
        <f>IF(C36=0,"",C36/1557000000.1)</f>
        <v>0</v>
      </c>
    </row>
    <row r="37" spans="1:4">
      <c r="A37" s="12">
        <v>46997</v>
      </c>
      <c r="B37" s="10"/>
      <c r="C37" s="7">
        <f>SUM($B$2:B37)</f>
        <v>0</v>
      </c>
      <c r="D37" s="13">
        <f>IF(C37=0,"",C37/1557000000.1)</f>
        <v>0</v>
      </c>
    </row>
    <row r="38" spans="1:4">
      <c r="A38" s="12">
        <v>47027</v>
      </c>
      <c r="B38" s="10"/>
      <c r="C38" s="7">
        <f>SUM($B$2:B38)</f>
        <v>0</v>
      </c>
      <c r="D38" s="13">
        <f>IF(C38=0,"",C38/1557000000.1)</f>
        <v>0</v>
      </c>
    </row>
    <row r="39" spans="1:4">
      <c r="A39" s="12">
        <v>47058</v>
      </c>
      <c r="B39" s="10"/>
      <c r="C39" s="7">
        <f>SUM($B$2:B39)</f>
        <v>0</v>
      </c>
      <c r="D39" s="13">
        <f>IF(C39=0,"",C39/1557000000.1)</f>
        <v>0</v>
      </c>
    </row>
    <row r="40" spans="1:4">
      <c r="A40" s="12">
        <v>47088</v>
      </c>
      <c r="B40" s="10"/>
      <c r="C40" s="7">
        <f>SUM($B$2:B40)</f>
        <v>0</v>
      </c>
      <c r="D40" s="13">
        <f>IF(C40=0,"",C40/1557000000.1)</f>
        <v>0</v>
      </c>
    </row>
    <row r="41" spans="1:4">
      <c r="A41" s="12">
        <v>47119</v>
      </c>
      <c r="B41" s="10"/>
      <c r="C41" s="7">
        <f>SUM($B$2:B41)</f>
        <v>0</v>
      </c>
      <c r="D41" s="13">
        <f>IF(C41=0,"",C41/1557000000.1)</f>
        <v>0</v>
      </c>
    </row>
    <row r="42" spans="1:4">
      <c r="A42" s="12">
        <v>47150</v>
      </c>
      <c r="B42" s="10"/>
      <c r="C42" s="7">
        <f>SUM($B$2:B42)</f>
        <v>0</v>
      </c>
      <c r="D42" s="13">
        <f>IF(C42=0,"",C42/1557000000.1)</f>
        <v>0</v>
      </c>
    </row>
    <row r="43" spans="1:4">
      <c r="A43" s="12">
        <v>47178</v>
      </c>
      <c r="B43" s="10"/>
      <c r="C43" s="7">
        <f>SUM($B$2:B43)</f>
        <v>0</v>
      </c>
      <c r="D43" s="13">
        <f>IF(C43=0,"",C43/1557000000.1)</f>
        <v>0</v>
      </c>
    </row>
    <row r="44" spans="1:4">
      <c r="A44" s="12">
        <v>47209</v>
      </c>
      <c r="B44" s="10"/>
      <c r="C44" s="7">
        <f>SUM($B$2:B44)</f>
        <v>0</v>
      </c>
      <c r="D44" s="13">
        <f>IF(C44=0,"",C44/1557000000.1)</f>
        <v>0</v>
      </c>
    </row>
    <row r="45" spans="1:4">
      <c r="A45" s="12">
        <v>47239</v>
      </c>
      <c r="B45" s="10"/>
      <c r="C45" s="7">
        <f>SUM($B$2:B45)</f>
        <v>0</v>
      </c>
      <c r="D45" s="13">
        <f>IF(C45=0,"",C45/1557000000.1)</f>
        <v>0</v>
      </c>
    </row>
    <row r="46" spans="1:4">
      <c r="A46" s="12">
        <v>47270</v>
      </c>
      <c r="B46" s="10"/>
      <c r="C46" s="7">
        <f>SUM($B$2:B46)</f>
        <v>0</v>
      </c>
      <c r="D46" s="13">
        <f>IF(C46=0,"",C46/1557000000.1)</f>
        <v>0</v>
      </c>
    </row>
    <row r="47" spans="1:4">
      <c r="A47" s="12">
        <v>47300</v>
      </c>
      <c r="B47" s="10"/>
      <c r="C47" s="7">
        <f>SUM($B$2:B47)</f>
        <v>0</v>
      </c>
      <c r="D47" s="13">
        <f>IF(C47=0,"",C47/1557000000.1)</f>
        <v>0</v>
      </c>
    </row>
    <row r="48" spans="1:4">
      <c r="A48" s="12">
        <v>47331</v>
      </c>
      <c r="B48" s="10"/>
      <c r="C48" s="7">
        <f>SUM($B$2:B48)</f>
        <v>0</v>
      </c>
      <c r="D48" s="13">
        <f>IF(C48=0,"",C48/1557000000.1)</f>
        <v>0</v>
      </c>
    </row>
    <row r="49" spans="1:4">
      <c r="A49" s="12">
        <v>47362</v>
      </c>
      <c r="B49" s="10"/>
      <c r="C49" s="7">
        <f>SUM($B$2:B49)</f>
        <v>0</v>
      </c>
      <c r="D49" s="13">
        <f>IF(C49=0,"",C49/1557000000.1)</f>
        <v>0</v>
      </c>
    </row>
    <row r="50" spans="1:4">
      <c r="A50" s="12">
        <v>47392</v>
      </c>
      <c r="B50" s="10"/>
      <c r="C50" s="7">
        <f>SUM($B$2:B50)</f>
        <v>0</v>
      </c>
      <c r="D50" s="13">
        <f>IF(C50=0,"",C50/1557000000.1)</f>
        <v>0</v>
      </c>
    </row>
    <row r="51" spans="1:4">
      <c r="A51" s="12">
        <v>47423</v>
      </c>
      <c r="B51" s="10"/>
      <c r="C51" s="7">
        <f>SUM($B$2:B51)</f>
        <v>0</v>
      </c>
      <c r="D51" s="13">
        <f>IF(C51=0,"",C51/1557000000.1)</f>
        <v>0</v>
      </c>
    </row>
    <row r="52" spans="1:4">
      <c r="A52" s="12">
        <v>47453</v>
      </c>
      <c r="B52" s="10"/>
      <c r="C52" s="7">
        <f>SUM($B$2:B52)</f>
        <v>0</v>
      </c>
      <c r="D52" s="13">
        <f>IF(C52=0,"",C52/1557000000.1)</f>
        <v>0</v>
      </c>
    </row>
    <row r="53" spans="1:4">
      <c r="A53" s="12">
        <v>47484</v>
      </c>
      <c r="B53" s="10"/>
      <c r="C53" s="7">
        <f>SUM($B$2:B53)</f>
        <v>0</v>
      </c>
      <c r="D53" s="13">
        <f>IF(C53=0,"",C53/1557000000.1)</f>
        <v>0</v>
      </c>
    </row>
    <row r="54" spans="1:4">
      <c r="A54" s="12">
        <v>47515</v>
      </c>
      <c r="B54" s="10"/>
      <c r="C54" s="7">
        <f>SUM($B$2:B54)</f>
        <v>0</v>
      </c>
      <c r="D54" s="13">
        <f>IF(C54=0,"",C54/1557000000.1)</f>
        <v>0</v>
      </c>
    </row>
    <row r="55" spans="1:4">
      <c r="A55" s="12">
        <v>47543</v>
      </c>
      <c r="B55" s="10"/>
      <c r="C55" s="7">
        <f>SUM($B$2:B55)</f>
        <v>0</v>
      </c>
      <c r="D55" s="13">
        <f>IF(C55=0,"",C55/1557000000.1)</f>
        <v>0</v>
      </c>
    </row>
    <row r="56" spans="1:4">
      <c r="A56" s="12">
        <v>47574</v>
      </c>
      <c r="B56" s="10"/>
      <c r="C56" s="7">
        <f>SUM($B$2:B56)</f>
        <v>0</v>
      </c>
      <c r="D56" s="13">
        <f>IF(C56=0,"",C56/1557000000.1)</f>
        <v>0</v>
      </c>
    </row>
    <row r="57" spans="1:4">
      <c r="A57" s="12">
        <v>47604</v>
      </c>
      <c r="B57" s="10"/>
      <c r="C57" s="7">
        <f>SUM($B$2:B57)</f>
        <v>0</v>
      </c>
      <c r="D57" s="13">
        <f>IF(C57=0,"",C57/1557000000.1)</f>
        <v>0</v>
      </c>
    </row>
    <row r="58" spans="1:4">
      <c r="A58" s="12">
        <v>47635</v>
      </c>
      <c r="B58" s="10"/>
      <c r="C58" s="7">
        <f>SUM($B$2:B58)</f>
        <v>0</v>
      </c>
      <c r="D58" s="13">
        <f>IF(C58=0,"",C58/1557000000.1)</f>
        <v>0</v>
      </c>
    </row>
    <row r="59" spans="1:4">
      <c r="A59" s="12">
        <v>47665</v>
      </c>
      <c r="B59" s="10"/>
      <c r="C59" s="7">
        <f>SUM($B$2:B59)</f>
        <v>0</v>
      </c>
      <c r="D59" s="13">
        <f>IF(C59=0,"",C59/1557000000.1)</f>
        <v>0</v>
      </c>
    </row>
    <row r="60" spans="1:4">
      <c r="A60" s="12">
        <v>47696</v>
      </c>
      <c r="B60" s="10"/>
      <c r="C60" s="7">
        <f>SUM($B$2:B60)</f>
        <v>0</v>
      </c>
      <c r="D60" s="13">
        <f>IF(C60=0,"",C60/1557000000.1)</f>
        <v>0</v>
      </c>
    </row>
    <row r="61" spans="1:4">
      <c r="A61" s="12">
        <v>47727</v>
      </c>
      <c r="B61" s="10"/>
      <c r="C61" s="7">
        <f>SUM($B$2:B61)</f>
        <v>0</v>
      </c>
      <c r="D61" s="13">
        <f>IF(C61=0,"",C61/1557000000.1)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1" width="13.7109375" customWidth="1"/>
    <col min="2" max="3" width="12.7109375" customWidth="1"/>
    <col min="4" max="4" width="50.7109375" customWidth="1"/>
  </cols>
  <sheetData>
    <row r="1" spans="1:6" ht="32" customHeight="1">
      <c r="A1" s="5" t="s">
        <v>51</v>
      </c>
      <c r="B1" s="5" t="s">
        <v>924</v>
      </c>
      <c r="C1" s="5" t="s">
        <v>925</v>
      </c>
      <c r="D1" s="5" t="s">
        <v>64</v>
      </c>
      <c r="F1" s="4" t="s">
        <v>926</v>
      </c>
    </row>
    <row r="2" spans="1:6">
      <c r="A2" s="9"/>
      <c r="B2" s="10"/>
      <c r="C2" s="10"/>
      <c r="D2" s="6"/>
    </row>
    <row r="3" spans="1:6">
      <c r="A3" s="9"/>
      <c r="B3" s="10"/>
      <c r="C3" s="10"/>
      <c r="D3" s="6"/>
    </row>
    <row r="4" spans="1:6">
      <c r="A4" s="9"/>
      <c r="B4" s="10"/>
      <c r="C4" s="10"/>
      <c r="D4" s="6"/>
    </row>
    <row r="5" spans="1:6">
      <c r="A5" s="9"/>
      <c r="B5" s="10"/>
      <c r="C5" s="10"/>
      <c r="D5" s="6"/>
    </row>
    <row r="6" spans="1:6">
      <c r="A6" s="9"/>
      <c r="B6" s="10"/>
      <c r="C6" s="10"/>
      <c r="D6" s="6"/>
    </row>
    <row r="7" spans="1:6">
      <c r="A7" s="9"/>
      <c r="B7" s="10"/>
      <c r="C7" s="10"/>
      <c r="D7" s="6"/>
    </row>
    <row r="8" spans="1:6">
      <c r="A8" s="9"/>
      <c r="B8" s="10"/>
      <c r="C8" s="10"/>
      <c r="D8" s="6"/>
    </row>
    <row r="9" spans="1:6">
      <c r="A9" s="9"/>
      <c r="B9" s="10"/>
      <c r="C9" s="10"/>
      <c r="D9" s="6"/>
    </row>
    <row r="10" spans="1:6">
      <c r="A10" s="9"/>
      <c r="B10" s="10"/>
      <c r="C10" s="10"/>
      <c r="D10" s="6"/>
    </row>
    <row r="11" spans="1:6">
      <c r="A11" s="9"/>
      <c r="B11" s="10"/>
      <c r="C11" s="10"/>
      <c r="D11" s="6"/>
    </row>
    <row r="12" spans="1:6">
      <c r="A12" s="9"/>
      <c r="B12" s="10"/>
      <c r="C12" s="10"/>
      <c r="D12" s="6"/>
    </row>
    <row r="13" spans="1:6">
      <c r="A13" s="9"/>
      <c r="B13" s="10"/>
      <c r="C13" s="10"/>
      <c r="D13" s="6"/>
    </row>
    <row r="14" spans="1:6">
      <c r="A14" s="9"/>
      <c r="B14" s="10"/>
      <c r="C14" s="10"/>
      <c r="D14" s="6"/>
    </row>
    <row r="15" spans="1:6">
      <c r="A15" s="9"/>
      <c r="B15" s="10"/>
      <c r="C15" s="10"/>
      <c r="D15" s="6"/>
    </row>
    <row r="16" spans="1:6">
      <c r="A16" s="9"/>
      <c r="B16" s="10"/>
      <c r="C16" s="10"/>
      <c r="D16" s="6"/>
    </row>
    <row r="17" spans="1:4">
      <c r="A17" s="9"/>
      <c r="B17" s="10"/>
      <c r="C17" s="10"/>
      <c r="D17" s="6"/>
    </row>
    <row r="18" spans="1:4">
      <c r="A18" s="9"/>
      <c r="B18" s="10"/>
      <c r="C18" s="10"/>
      <c r="D18" s="6"/>
    </row>
    <row r="19" spans="1:4">
      <c r="A19" s="9"/>
      <c r="B19" s="10"/>
      <c r="C19" s="10"/>
      <c r="D19" s="6"/>
    </row>
    <row r="20" spans="1:4">
      <c r="A20" s="9"/>
      <c r="B20" s="10"/>
      <c r="C20" s="10"/>
      <c r="D20" s="6"/>
    </row>
    <row r="21" spans="1:4">
      <c r="A21" s="9"/>
      <c r="B21" s="10"/>
      <c r="C21" s="10"/>
      <c r="D21" s="6"/>
    </row>
    <row r="22" spans="1:4">
      <c r="A22" s="9"/>
      <c r="B22" s="10"/>
      <c r="C22" s="10"/>
      <c r="D22" s="6"/>
    </row>
    <row r="23" spans="1:4">
      <c r="A23" s="9"/>
      <c r="B23" s="10"/>
      <c r="C23" s="10"/>
      <c r="D23" s="6"/>
    </row>
    <row r="24" spans="1:4">
      <c r="A24" s="9"/>
      <c r="B24" s="10"/>
      <c r="C24" s="10"/>
      <c r="D24" s="6"/>
    </row>
    <row r="25" spans="1:4">
      <c r="A25" s="9"/>
      <c r="B25" s="10"/>
      <c r="C25" s="10"/>
      <c r="D2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Project</vt:lpstr>
      <vt:lpstr>Invoices</vt:lpstr>
      <vt:lpstr>Sections</vt:lpstr>
      <vt:lpstr>BOQ_Items</vt:lpstr>
      <vt:lpstr>Baseline_Plan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2026-10-21T17:57:13Z</dcterms:created>
  <dcterms:modified xsi:type="dcterms:W3CDTF">2026-10-21T17:57:13Z</dcterms:modified>
</cp:coreProperties>
</file>